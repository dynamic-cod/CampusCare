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ment Summary" sheetId="1" r:id="rId5"/>
    <sheet state="visible" name="Staff Directory" sheetId="2" r:id="rId6"/>
  </sheets>
  <definedNames/>
  <calcPr/>
</workbook>
</file>

<file path=xl/sharedStrings.xml><?xml version="1.0" encoding="utf-8"?>
<sst xmlns="http://schemas.openxmlformats.org/spreadsheetml/2006/main" count="995" uniqueCount="596">
  <si>
    <t>CAMPUS OPERATIONS &amp; MAINTENANCE STAFF DIRECTORY</t>
  </si>
  <si>
    <t>Master roster covering Residential Halls, Academic Faculties, and Central Reserve (156 Personnel)</t>
  </si>
  <si>
    <t>Location / Facility</t>
  </si>
  <si>
    <t>Name</t>
  </si>
  <si>
    <t>Profession / Role</t>
  </si>
  <si>
    <t>Department</t>
  </si>
  <si>
    <t>Username</t>
  </si>
  <si>
    <t>Official Contact</t>
  </si>
  <si>
    <t>Sir Syed Hall (North &amp; South Blocks)</t>
  </si>
  <si>
    <t>Tariq Ahmad Khan</t>
  </si>
  <si>
    <t>Resident Electrician</t>
  </si>
  <si>
    <t>Electrical (ELEC)</t>
  </si>
  <si>
    <t>elec_sirsye_1</t>
  </si>
  <si>
    <t>+91 98230 11001</t>
  </si>
  <si>
    <t>Nadeem Akhtar</t>
  </si>
  <si>
    <t>Resident Plumber &amp; Pump Tech</t>
  </si>
  <si>
    <t>Plumbing (PLUMB)</t>
  </si>
  <si>
    <t>plumb_sirsye_1</t>
  </si>
  <si>
    <t>+91 98230 11002</t>
  </si>
  <si>
    <t>Farhan Mirza</t>
  </si>
  <si>
    <t>Resident Carpenter &amp; Glazier</t>
  </si>
  <si>
    <t>Civil (CIVIL)</t>
  </si>
  <si>
    <t>civil_sirsye_1</t>
  </si>
  <si>
    <t>+91 98230 11003</t>
  </si>
  <si>
    <t>Mohammad Shadab</t>
  </si>
  <si>
    <t>Resident IT &amp; Wi-Fi Attendant</t>
  </si>
  <si>
    <t>IT &amp; AV (ITINF)</t>
  </si>
  <si>
    <t>itinf_sirsye_1</t>
  </si>
  <si>
    <t>+91 98230 11004</t>
  </si>
  <si>
    <t>Rashid Mansoori</t>
  </si>
  <si>
    <t>Senior Sanitation Supervisor</t>
  </si>
  <si>
    <t>Sanitation (CLEAN)</t>
  </si>
  <si>
    <t>clean_sirsye_1</t>
  </si>
  <si>
    <t>+91 98230 11005</t>
  </si>
  <si>
    <t>Zubair Alam</t>
  </si>
  <si>
    <t>Sanitation Attendant</t>
  </si>
  <si>
    <t>clean_sirsye_2</t>
  </si>
  <si>
    <t>+91 98230 11006</t>
  </si>
  <si>
    <t>Kamran Siddiqui</t>
  </si>
  <si>
    <t>clean_sirsye_3</t>
  </si>
  <si>
    <t>+91 98230 11007</t>
  </si>
  <si>
    <t>Salman Beg</t>
  </si>
  <si>
    <t>clean_sirsye_4</t>
  </si>
  <si>
    <t>+91 98230 11008</t>
  </si>
  <si>
    <t>Parvez Ahmad</t>
  </si>
  <si>
    <t>clean_sirsye_5</t>
  </si>
  <si>
    <t>+91 98230 11009</t>
  </si>
  <si>
    <t>Faisal Qureshi</t>
  </si>
  <si>
    <t>clean_sirsye_6</t>
  </si>
  <si>
    <t>+91 98230 11010</t>
  </si>
  <si>
    <t>Shabbir Husain</t>
  </si>
  <si>
    <t>clean_sirsye_7</t>
  </si>
  <si>
    <t>+91 98230 11011</t>
  </si>
  <si>
    <t>Mohammad Irfan</t>
  </si>
  <si>
    <t>clean_sirsye_8</t>
  </si>
  <si>
    <t>+91 98230 11012</t>
  </si>
  <si>
    <t>Saqib Ansari</t>
  </si>
  <si>
    <t>clean_sirsye_9</t>
  </si>
  <si>
    <t>+91 98230 11013</t>
  </si>
  <si>
    <t>Rizwan Haider</t>
  </si>
  <si>
    <t>Waste Disposal Attendant</t>
  </si>
  <si>
    <t>clean_sirsye_10</t>
  </si>
  <si>
    <t>+91 98230 11014</t>
  </si>
  <si>
    <t>Aftab Hall</t>
  </si>
  <si>
    <t>Mohammad Asif</t>
  </si>
  <si>
    <t>elec_aftabh_1</t>
  </si>
  <si>
    <t>+91 98230 12001</t>
  </si>
  <si>
    <t>Shabbir Ahmad</t>
  </si>
  <si>
    <t>Resident Plumber</t>
  </si>
  <si>
    <t>plumb_aftabh_1</t>
  </si>
  <si>
    <t>+91 98230 12002</t>
  </si>
  <si>
    <t>Altamash Raza</t>
  </si>
  <si>
    <t>Resident Carpenter</t>
  </si>
  <si>
    <t>civil_aftabh_1</t>
  </si>
  <si>
    <t>+91 98230 12003</t>
  </si>
  <si>
    <t>Danish Iqbal</t>
  </si>
  <si>
    <t>Resident IT &amp; LAN Attendant</t>
  </si>
  <si>
    <t>itinf_aftabh_1</t>
  </si>
  <si>
    <t>+91 98230 12004</t>
  </si>
  <si>
    <t>Shahnawaz Sheikh</t>
  </si>
  <si>
    <t>Sanitation Supervisor</t>
  </si>
  <si>
    <t>clean_aftabh_1</t>
  </si>
  <si>
    <t>+91 98230 12005</t>
  </si>
  <si>
    <t>Akhtar Husain</t>
  </si>
  <si>
    <t>clean_aftabh_2</t>
  </si>
  <si>
    <t>+91 98230 12006</t>
  </si>
  <si>
    <t>Junaid Khan</t>
  </si>
  <si>
    <t>clean_aftabh_3</t>
  </si>
  <si>
    <t>+91 98230 12007</t>
  </si>
  <si>
    <t>Bilal Ahmad</t>
  </si>
  <si>
    <t>clean_aftabh_4</t>
  </si>
  <si>
    <t>+91 98230 12008</t>
  </si>
  <si>
    <t>Sohail Mirza</t>
  </si>
  <si>
    <t>clean_aftabh_5</t>
  </si>
  <si>
    <t>+91 98230 12009</t>
  </si>
  <si>
    <t>Hamza Siddiqui</t>
  </si>
  <si>
    <t>clean_aftabh_6</t>
  </si>
  <si>
    <t>+91 98230 12010</t>
  </si>
  <si>
    <t>Mustafa Qureshi</t>
  </si>
  <si>
    <t>clean_aftabh_7</t>
  </si>
  <si>
    <t>+91 98230 12011</t>
  </si>
  <si>
    <t>Imran Beg</t>
  </si>
  <si>
    <t>clean_aftabh_8</t>
  </si>
  <si>
    <t>+91 98230 12012</t>
  </si>
  <si>
    <t>Adnan Ansari</t>
  </si>
  <si>
    <t>clean_aftabh_9</t>
  </si>
  <si>
    <t>+91 98230 12013</t>
  </si>
  <si>
    <t>Waseem Malik</t>
  </si>
  <si>
    <t>clean_aftabh_10</t>
  </si>
  <si>
    <t>+91 98230 12014</t>
  </si>
  <si>
    <t>Mohsin-ul-Mulk Hall</t>
  </si>
  <si>
    <t>Zafar Iqbal</t>
  </si>
  <si>
    <t>elec_mohsin_1</t>
  </si>
  <si>
    <t>+91 98230 13001</t>
  </si>
  <si>
    <t>Munawwar Ali</t>
  </si>
  <si>
    <t>plumb_mohsin_1</t>
  </si>
  <si>
    <t>+91 98230 13002</t>
  </si>
  <si>
    <t>Javed Akhtar</t>
  </si>
  <si>
    <t>civil_mohsin_1</t>
  </si>
  <si>
    <t>+91 98230 13003</t>
  </si>
  <si>
    <t>Arshad Farooqi</t>
  </si>
  <si>
    <t>Resident IT Technician</t>
  </si>
  <si>
    <t>itinf_mohsin_1</t>
  </si>
  <si>
    <t>+91 98230 13004</t>
  </si>
  <si>
    <t>Sameer Usmani</t>
  </si>
  <si>
    <t>clean_mohsin_1</t>
  </si>
  <si>
    <t>+91 98230 13005</t>
  </si>
  <si>
    <t>Tanveer Ahmad</t>
  </si>
  <si>
    <t>clean_mohsin_2</t>
  </si>
  <si>
    <t>+91 98230 13006</t>
  </si>
  <si>
    <t>Shahid Khan</t>
  </si>
  <si>
    <t>clean_mohsin_3</t>
  </si>
  <si>
    <t>+91 98230 13007</t>
  </si>
  <si>
    <t>Khurram Shah</t>
  </si>
  <si>
    <t>clean_mohsin_4</t>
  </si>
  <si>
    <t>+91 98230 13008</t>
  </si>
  <si>
    <t>Majid Hashmi</t>
  </si>
  <si>
    <t>clean_mohsin_5</t>
  </si>
  <si>
    <t>+91 98230 13009</t>
  </si>
  <si>
    <t>Shakeel Abbasi</t>
  </si>
  <si>
    <t>clean_mohsin_6</t>
  </si>
  <si>
    <t>+91 98230 13010</t>
  </si>
  <si>
    <t>Naeem Chaudhary</t>
  </si>
  <si>
    <t>clean_mohsin_7</t>
  </si>
  <si>
    <t>+91 98230 13011</t>
  </si>
  <si>
    <t>Haroon Zaman</t>
  </si>
  <si>
    <t>clean_mohsin_8</t>
  </si>
  <si>
    <t>+91 98230 13012</t>
  </si>
  <si>
    <t>Yusuf Akram</t>
  </si>
  <si>
    <t>clean_mohsin_9</t>
  </si>
  <si>
    <t>+91 98230 13013</t>
  </si>
  <si>
    <t>Aasif Saifi</t>
  </si>
  <si>
    <t>clean_mohsin_10</t>
  </si>
  <si>
    <t>+91 98230 13014</t>
  </si>
  <si>
    <t>Viqar-ul-Mulk Hall</t>
  </si>
  <si>
    <t>Mansoor Alam</t>
  </si>
  <si>
    <t>elec_viqaru_1</t>
  </si>
  <si>
    <t>+91 98230 14001</t>
  </si>
  <si>
    <t>Shoaib Akhtar</t>
  </si>
  <si>
    <t>plumb_viqaru_1</t>
  </si>
  <si>
    <t>+91 98230 14002</t>
  </si>
  <si>
    <t>Noman Khan</t>
  </si>
  <si>
    <t>civil_viqaru_1</t>
  </si>
  <si>
    <t>+91 98230 14003</t>
  </si>
  <si>
    <t>Nasir Siddiqui</t>
  </si>
  <si>
    <t>itinf_viqaru_1</t>
  </si>
  <si>
    <t>+91 98230 14004</t>
  </si>
  <si>
    <t>Anwar Husain</t>
  </si>
  <si>
    <t>clean_viqaru_1</t>
  </si>
  <si>
    <t>+91 98230 14005</t>
  </si>
  <si>
    <t>Rehan Mirza</t>
  </si>
  <si>
    <t>clean_viqaru_2</t>
  </si>
  <si>
    <t>+91 98230 14006</t>
  </si>
  <si>
    <t>Sultan Beg</t>
  </si>
  <si>
    <t>clean_viqaru_3</t>
  </si>
  <si>
    <t>+91 98230 14007</t>
  </si>
  <si>
    <t>Zia Qureshi</t>
  </si>
  <si>
    <t>clean_viqaru_4</t>
  </si>
  <si>
    <t>+91 98230 14008</t>
  </si>
  <si>
    <t>Vipin Sharma</t>
  </si>
  <si>
    <t>clean_viqaru_5</t>
  </si>
  <si>
    <t>+91 98230 14009</t>
  </si>
  <si>
    <t>Sanjay Saxena</t>
  </si>
  <si>
    <t>clean_viqaru_6</t>
  </si>
  <si>
    <t>+91 98230 14010</t>
  </si>
  <si>
    <t>Amit Verma</t>
  </si>
  <si>
    <t>clean_viqaru_7</t>
  </si>
  <si>
    <t>+91 98230 14011</t>
  </si>
  <si>
    <t>Rajesh Kumar</t>
  </si>
  <si>
    <t>clean_viqaru_8</t>
  </si>
  <si>
    <t>+91 98230 14012</t>
  </si>
  <si>
    <t>Deepak Joshi</t>
  </si>
  <si>
    <t>clean_viqaru_9</t>
  </si>
  <si>
    <t>+91 98230 14013</t>
  </si>
  <si>
    <t>Mohammad Tariq</t>
  </si>
  <si>
    <t>clean_viqaru_10</t>
  </si>
  <si>
    <t>+91 98230 14014</t>
  </si>
  <si>
    <t>Sulaiman Hall</t>
  </si>
  <si>
    <t>Mohammad Haroon</t>
  </si>
  <si>
    <t>elec_sulaim_1</t>
  </si>
  <si>
    <t>+91 98230 15001</t>
  </si>
  <si>
    <t>Parvez Alam</t>
  </si>
  <si>
    <t>plumb_sulaim_1</t>
  </si>
  <si>
    <t>+91 98230 15002</t>
  </si>
  <si>
    <t>Saqib Mirza</t>
  </si>
  <si>
    <t>civil_sulaim_1</t>
  </si>
  <si>
    <t>+91 98230 15003</t>
  </si>
  <si>
    <t>Junaid Farooqi</t>
  </si>
  <si>
    <t>itinf_sulaim_1</t>
  </si>
  <si>
    <t>+91 98230 15004</t>
  </si>
  <si>
    <t>Farhan Qureshi</t>
  </si>
  <si>
    <t>clean_sulaim_1</t>
  </si>
  <si>
    <t>+91 98230 15005</t>
  </si>
  <si>
    <t>Tariq Mansoori</t>
  </si>
  <si>
    <t>clean_sulaim_2</t>
  </si>
  <si>
    <t>+91 98230 15006</t>
  </si>
  <si>
    <t>Rashid Beg</t>
  </si>
  <si>
    <t>clean_sulaim_3</t>
  </si>
  <si>
    <t>+91 98230 15007</t>
  </si>
  <si>
    <t>Nadeem Ansari</t>
  </si>
  <si>
    <t>clean_sulaim_4</t>
  </si>
  <si>
    <t>+91 98230 15008</t>
  </si>
  <si>
    <t>Faisal Khan</t>
  </si>
  <si>
    <t>clean_sulaim_5</t>
  </si>
  <si>
    <t>+91 98230 15009</t>
  </si>
  <si>
    <t>Salman Akhtar</t>
  </si>
  <si>
    <t>clean_sulaim_6</t>
  </si>
  <si>
    <t>+91 98230 15010</t>
  </si>
  <si>
    <t>Zubair Siddiqui</t>
  </si>
  <si>
    <t>clean_sulaim_7</t>
  </si>
  <si>
    <t>+91 98230 15011</t>
  </si>
  <si>
    <t>Kamran Shah</t>
  </si>
  <si>
    <t>clean_sulaim_8</t>
  </si>
  <si>
    <t>+91 98230 15012</t>
  </si>
  <si>
    <t>Shabbir Malik</t>
  </si>
  <si>
    <t>clean_sulaim_9</t>
  </si>
  <si>
    <t>+91 98230 15013</t>
  </si>
  <si>
    <t>Mohammad Bilal</t>
  </si>
  <si>
    <t>clean_sulaim_10</t>
  </si>
  <si>
    <t>+91 98230 15014</t>
  </si>
  <si>
    <t>Nadeem Tarin Hall</t>
  </si>
  <si>
    <t>Rizwan Ansari</t>
  </si>
  <si>
    <t>elec_nadeem_1</t>
  </si>
  <si>
    <t>+91 98230 16001</t>
  </si>
  <si>
    <t>Altamash Beg</t>
  </si>
  <si>
    <t>plumb_nadeem_1</t>
  </si>
  <si>
    <t>+91 98230 16002</t>
  </si>
  <si>
    <t>Shahnawaz Khan</t>
  </si>
  <si>
    <t>civil_nadeem_1</t>
  </si>
  <si>
    <t>+91 98230 16003</t>
  </si>
  <si>
    <t>Shadab Husain</t>
  </si>
  <si>
    <t>itinf_nadeem_1</t>
  </si>
  <si>
    <t>+91 98230 16004</t>
  </si>
  <si>
    <t>Danish Siddiqui</t>
  </si>
  <si>
    <t>clean_nadeem_1</t>
  </si>
  <si>
    <t>+91 98230 16005</t>
  </si>
  <si>
    <t>Hamza Akhtar</t>
  </si>
  <si>
    <t>clean_nadeem_2</t>
  </si>
  <si>
    <t>+91 98230 16006</t>
  </si>
  <si>
    <t>Mustafa Alam</t>
  </si>
  <si>
    <t>clean_nadeem_3</t>
  </si>
  <si>
    <t>+91 98230 16007</t>
  </si>
  <si>
    <t>Imran Mirza</t>
  </si>
  <si>
    <t>clean_nadeem_4</t>
  </si>
  <si>
    <t>+91 98230 16008</t>
  </si>
  <si>
    <t>Adnan Farooqi</t>
  </si>
  <si>
    <t>clean_nadeem_5</t>
  </si>
  <si>
    <t>+91 98230 16009</t>
  </si>
  <si>
    <t>Waseem Qureshi</t>
  </si>
  <si>
    <t>clean_nadeem_6</t>
  </si>
  <si>
    <t>+91 98230 16010</t>
  </si>
  <si>
    <t>CAMPUS OPERATIONS &amp; FACILITIES EXECUTIVE SUMMARY</t>
  </si>
  <si>
    <t>Sameer Haider</t>
  </si>
  <si>
    <t>clean_nadeem_7</t>
  </si>
  <si>
    <t>+91 98230 16011</t>
  </si>
  <si>
    <t>Tanveer Beg</t>
  </si>
  <si>
    <t>clean_nadeem_8</t>
  </si>
  <si>
    <t>+91 98230 16012</t>
  </si>
  <si>
    <t>Shahid Usmani</t>
  </si>
  <si>
    <t>clean_nadeem_9</t>
  </si>
  <si>
    <t>+91 98230 16013</t>
  </si>
  <si>
    <t>TOTAL WORKFORCE</t>
  </si>
  <si>
    <t>Khurram Saifi</t>
  </si>
  <si>
    <t>clean_nadeem_10</t>
  </si>
  <si>
    <t>+91 98230 16014</t>
  </si>
  <si>
    <t>Abdullah Hall (Women's Complex)</t>
  </si>
  <si>
    <t>Asif Mohammad Khan</t>
  </si>
  <si>
    <t>Resident Senior Electrician</t>
  </si>
  <si>
    <t>elec_abdull_1</t>
  </si>
  <si>
    <t>+91 98230 17001</t>
  </si>
  <si>
    <t>Shakeel Ahmad</t>
  </si>
  <si>
    <t>Resident Master Plumber</t>
  </si>
  <si>
    <t>plumb_abdull_1</t>
  </si>
  <si>
    <t>+91 98230 17002</t>
  </si>
  <si>
    <t>FACILITIES</t>
  </si>
  <si>
    <t>Naeem Akhtar</t>
  </si>
  <si>
    <t>CORE DEPARTMENTS</t>
  </si>
  <si>
    <t>civil_abdull_1</t>
  </si>
  <si>
    <t>+91 98230 17003</t>
  </si>
  <si>
    <t>Yusuf Raza</t>
  </si>
  <si>
    <t>SANITATION SHARE</t>
  </si>
  <si>
    <t>itinf_abdull_1</t>
  </si>
  <si>
    <t>+91 98230 17004</t>
  </si>
  <si>
    <t>Aasif Mansoori</t>
  </si>
  <si>
    <t>clean_abdull_1</t>
  </si>
  <si>
    <t>+91 98230 17005</t>
  </si>
  <si>
    <t>Munawwar Husain</t>
  </si>
  <si>
    <t>clean_abdull_2</t>
  </si>
  <si>
    <t>+91 98230 17006</t>
  </si>
  <si>
    <t>Javed Qureshi</t>
  </si>
  <si>
    <t>clean_abdull_3</t>
  </si>
  <si>
    <t>+91 98230 17007</t>
  </si>
  <si>
    <t>Anwar Khan</t>
  </si>
  <si>
    <t>clean_abdull_4</t>
  </si>
  <si>
    <t>+91 98230 17008</t>
  </si>
  <si>
    <t>Rehan Siddiqui</t>
  </si>
  <si>
    <t>clean_abdull_5</t>
  </si>
  <si>
    <t>+91 98230 17009</t>
  </si>
  <si>
    <t>Sultan Alam</t>
  </si>
  <si>
    <t>clean_abdull_6</t>
  </si>
  <si>
    <t>+91 98230 17010</t>
  </si>
  <si>
    <t>Zia Mirza</t>
  </si>
  <si>
    <t>clean_abdull_7</t>
  </si>
  <si>
    <t>+91 98230 17011</t>
  </si>
  <si>
    <t>Mansoor Beg</t>
  </si>
  <si>
    <t>clean_abdull_8</t>
  </si>
  <si>
    <t>+91 98230 17012</t>
  </si>
  <si>
    <t>Shoaib Farooqi</t>
  </si>
  <si>
    <t>clean_abdull_9</t>
  </si>
  <si>
    <t>+91 98230 17013</t>
  </si>
  <si>
    <t>Noman Ansari</t>
  </si>
  <si>
    <t>clean_abdull_10</t>
  </si>
  <si>
    <t>+91 98230 17014</t>
  </si>
  <si>
    <t>Sarojini Naidu Hall</t>
  </si>
  <si>
    <t>Irfan Mohammad</t>
  </si>
  <si>
    <t>elec_saroji_1</t>
  </si>
  <si>
    <t>+91 98230 18001</t>
  </si>
  <si>
    <t>Arshad Beg</t>
  </si>
  <si>
    <t>Active personnel across campus</t>
  </si>
  <si>
    <t>plumb_saroji_1</t>
  </si>
  <si>
    <t>+91 98230 18002</t>
  </si>
  <si>
    <t>Nasir Usmani</t>
  </si>
  <si>
    <t>civil_saroji_1</t>
  </si>
  <si>
    <t>+91 98230 18003</t>
  </si>
  <si>
    <t>Bilal Haider</t>
  </si>
  <si>
    <t>Resident IT Support</t>
  </si>
  <si>
    <t>itinf_saroji_1</t>
  </si>
  <si>
    <t>+91 98230 18004</t>
  </si>
  <si>
    <t>8 Halls, 6 Faculties, 1 Fleet</t>
  </si>
  <si>
    <t>Sohail Qureshi</t>
  </si>
  <si>
    <t>ELEC, PLUMB, CIVIL, IT, CLEAN</t>
  </si>
  <si>
    <t>clean_saroji_1</t>
  </si>
  <si>
    <t>+91 98230 18005</t>
  </si>
  <si>
    <t>Majid Khan</t>
  </si>
  <si>
    <t>93 Dedicated housekeeping staff</t>
  </si>
  <si>
    <t>clean_saroji_2</t>
  </si>
  <si>
    <t>+91 98230 18006</t>
  </si>
  <si>
    <t>Haroon Akhtar</t>
  </si>
  <si>
    <t>clean_saroji_3</t>
  </si>
  <si>
    <t>+91 98230 18007</t>
  </si>
  <si>
    <t>Yusuf Siddiqui</t>
  </si>
  <si>
    <t>clean_saroji_4</t>
  </si>
  <si>
    <t>+91 98230 18008</t>
  </si>
  <si>
    <t>Code</t>
  </si>
  <si>
    <t>Mohammad Saifi</t>
  </si>
  <si>
    <t>clean_saroji_5</t>
  </si>
  <si>
    <t>Headcount</t>
  </si>
  <si>
    <t>+91 98230 18009</t>
  </si>
  <si>
    <t>Zafar Abbasi</t>
  </si>
  <si>
    <t>% of Workforce</t>
  </si>
  <si>
    <t>Primary Scope / Core Allocation</t>
  </si>
  <si>
    <t>clean_saroji_6</t>
  </si>
  <si>
    <t>+91 98230 18010</t>
  </si>
  <si>
    <t>Key Facilities &amp; Specialized Equipment</t>
  </si>
  <si>
    <t>Adnan Shah</t>
  </si>
  <si>
    <t>clean_saroji_7</t>
  </si>
  <si>
    <t>+91 98230 18011</t>
  </si>
  <si>
    <t>Waseem Ansari</t>
  </si>
  <si>
    <t>Electrical Maintenance</t>
  </si>
  <si>
    <t>clean_saroji_8</t>
  </si>
  <si>
    <t>+91 98230 18012</t>
  </si>
  <si>
    <t>ELEC</t>
  </si>
  <si>
    <t>Sameer Mirza</t>
  </si>
  <si>
    <t>clean_saroji_9</t>
  </si>
  <si>
    <t>+91 98230 18013</t>
  </si>
  <si>
    <t>Tanveer Alam</t>
  </si>
  <si>
    <t>clean_saroji_10</t>
  </si>
  <si>
    <t>+91 98230 18014</t>
  </si>
  <si>
    <t>Faculty of Engineering &amp; Technology (Z.H. College of Engg)</t>
  </si>
  <si>
    <t>Tariq Siddiqui</t>
  </si>
  <si>
    <t>Faculty Shift Electrician</t>
  </si>
  <si>
    <t>elec_facult_1</t>
  </si>
  <si>
    <t>+91 98230 21001</t>
  </si>
  <si>
    <t>Nadeem Mirza</t>
  </si>
  <si>
    <t>Lab &amp; Plumbing Tech</t>
  </si>
  <si>
    <t>plumb_facult_1</t>
  </si>
  <si>
    <t>+91 98230 21002</t>
  </si>
  <si>
    <t>Farhan Ansari</t>
  </si>
  <si>
    <t>Workshop Carpenter</t>
  </si>
  <si>
    <t>civil_facult_1</t>
  </si>
  <si>
    <t>+91 98230 21003</t>
  </si>
  <si>
    <t>Mohammad Danish</t>
  </si>
  <si>
    <t>Smart Class &amp; Projector Tech</t>
  </si>
  <si>
    <t>itinf_facult_1</t>
  </si>
  <si>
    <t>+91 98230 21004</t>
  </si>
  <si>
    <t>Rashid Usmani</t>
  </si>
  <si>
    <t>Floor Sweeper &amp; Sanitation</t>
  </si>
  <si>
    <t>clean_facult_1</t>
  </si>
  <si>
    <t>+91 98230 21005</t>
  </si>
  <si>
    <t>Zubair Khan</t>
  </si>
  <si>
    <t>clean_facult_2</t>
  </si>
  <si>
    <t>+91 98230 21006</t>
  </si>
  <si>
    <t>Faculty of Science</t>
  </si>
  <si>
    <t>Kamran Alam</t>
  </si>
  <si>
    <t>Lab Power Electrician</t>
  </si>
  <si>
    <t>elec_scienc_1</t>
  </si>
  <si>
    <t>+91 98230 22001</t>
  </si>
  <si>
    <t>Lab Water &amp; Gas Line Tech</t>
  </si>
  <si>
    <t>plumb_scienc_1</t>
  </si>
  <si>
    <t>+91 98230 22002</t>
  </si>
  <si>
    <t>Parvez Beg</t>
  </si>
  <si>
    <t>Glazing &amp; Lab Furniture Tech</t>
  </si>
  <si>
    <t>civil_scienc_1</t>
  </si>
  <si>
    <t>+91 98230 22003</t>
  </si>
  <si>
    <t>Faisal Siddiqui</t>
  </si>
  <si>
    <t>Lab AV &amp; LAN Engineer</t>
  </si>
  <si>
    <t>itinf_scienc_1</t>
  </si>
  <si>
    <t>+91 98230 22004</t>
  </si>
  <si>
    <t>Shabbir Qureshi</t>
  </si>
  <si>
    <t>Department Sanitation Worker</t>
  </si>
  <si>
    <t>clean_scienc_1</t>
  </si>
  <si>
    <t>Power distribution, substation, lighting &amp; diesel generators</t>
  </si>
  <si>
    <t>+91 98230 22005</t>
  </si>
  <si>
    <t>8 Residential Halls, 6 Faculties, 11kV Substation</t>
  </si>
  <si>
    <t>clean_scienc_2</t>
  </si>
  <si>
    <t>+91 98230 22006</t>
  </si>
  <si>
    <t>Faculty of Arts &amp; Humanities</t>
  </si>
  <si>
    <t>Plumbing &amp; Water Supply</t>
  </si>
  <si>
    <t>Saqib Farooqi</t>
  </si>
  <si>
    <t>Lecture Hall Electrician</t>
  </si>
  <si>
    <t>elec_artsha_1</t>
  </si>
  <si>
    <t>PLUMB</t>
  </si>
  <si>
    <t>+91 98230 23001</t>
  </si>
  <si>
    <t>Rizwan Malik</t>
  </si>
  <si>
    <t>Corridor &amp; Washroom Plumber</t>
  </si>
  <si>
    <t>plumb_artsha_1</t>
  </si>
  <si>
    <t>+91 98230 23002</t>
  </si>
  <si>
    <t>Altamash Khan</t>
  </si>
  <si>
    <t>Desk &amp; Bench Carpenter</t>
  </si>
  <si>
    <t>civil_artsha_1</t>
  </si>
  <si>
    <t>+91 98230 23003</t>
  </si>
  <si>
    <t>Shadab Raza</t>
  </si>
  <si>
    <t>PA System &amp; Mic Technician</t>
  </si>
  <si>
    <t>itinf_artsha_1</t>
  </si>
  <si>
    <t>+91 98230 23004</t>
  </si>
  <si>
    <t>Shahnawaz Beg</t>
  </si>
  <si>
    <t>Lecture Theatre Cleaner</t>
  </si>
  <si>
    <t>clean_artsha_1</t>
  </si>
  <si>
    <t>+91 98230 23005</t>
  </si>
  <si>
    <t>Continuous supply, pump houses, sewer lines &amp; drainage</t>
  </si>
  <si>
    <t>Junaid Ansari</t>
  </si>
  <si>
    <t>Corridor Sanitation Worker</t>
  </si>
  <si>
    <t>clean_artsha_2</t>
  </si>
  <si>
    <t>+91 98230 23006</t>
  </si>
  <si>
    <t>8 Residential Halls, 6 Faculties, Tube-Wells &amp; Jetting Unit</t>
  </si>
  <si>
    <t>Faculty of Commerce &amp; Management</t>
  </si>
  <si>
    <t>Akhtar Farooqi</t>
  </si>
  <si>
    <t>Block Electrician</t>
  </si>
  <si>
    <t>Civil, Carpentry &amp; Masonry</t>
  </si>
  <si>
    <t>elec_commer_1</t>
  </si>
  <si>
    <t>CIVIL</t>
  </si>
  <si>
    <t>+91 98230 24001</t>
  </si>
  <si>
    <t>Bilal Qureshi</t>
  </si>
  <si>
    <t>Washroom Maintenance Plumber</t>
  </si>
  <si>
    <t>plumb_commer_1</t>
  </si>
  <si>
    <t>+91 98230 24002</t>
  </si>
  <si>
    <t>Sohail Haider</t>
  </si>
  <si>
    <t>Furniture &amp; Locksmith</t>
  </si>
  <si>
    <t>civil_commer_1</t>
  </si>
  <si>
    <t>+91 98230 24003</t>
  </si>
  <si>
    <t>Carpentry, glazing, locksmith, structural welding &amp; central AC</t>
  </si>
  <si>
    <t>Hamza Usmani</t>
  </si>
  <si>
    <t>8 Residential Halls, 6 Faculties, Central Chiller Plant</t>
  </si>
  <si>
    <t>Seminar Room AV Tech</t>
  </si>
  <si>
    <t>IT &amp; Audio-Visual Support</t>
  </si>
  <si>
    <t>itinf_commer_1</t>
  </si>
  <si>
    <t>ITINF</t>
  </si>
  <si>
    <t>+91 98230 24004</t>
  </si>
  <si>
    <t>Mustafa Shah</t>
  </si>
  <si>
    <t>Building Sweeper</t>
  </si>
  <si>
    <t>clean_commer_1</t>
  </si>
  <si>
    <t>+91 98230 24005</t>
  </si>
  <si>
    <t>Imran Abbasi</t>
  </si>
  <si>
    <t>clean_commer_2</t>
  </si>
  <si>
    <t>Campus Wi-Fi, LAN routers, smart lecture halls &amp; fiber splicing</t>
  </si>
  <si>
    <t>+91 98230 24006</t>
  </si>
  <si>
    <t>8 Residential Halls, 6 Faculties, Core Fiber Splicer</t>
  </si>
  <si>
    <t>Faculty of Life Sciences</t>
  </si>
  <si>
    <t>Sanitation &amp; Housekeeping</t>
  </si>
  <si>
    <t>CLEAN</t>
  </si>
  <si>
    <t>Adnan Mansoori</t>
  </si>
  <si>
    <t>Greenhouse &amp; Lab Electrician</t>
  </si>
  <si>
    <t>elec_lifesc_1</t>
  </si>
  <si>
    <t>+91 98230 25001</t>
  </si>
  <si>
    <t>Waseem Beg</t>
  </si>
  <si>
    <t>Continuous Water Supply Tech</t>
  </si>
  <si>
    <t>plumb_lifesc_1</t>
  </si>
  <si>
    <t>+91 98230 25002</t>
  </si>
  <si>
    <t>Sameer Alam</t>
  </si>
  <si>
    <t>Floor sweeping, washrooms, hazardous waste &amp; mechanised trash</t>
  </si>
  <si>
    <t>Lab Fixtures Carpenter</t>
  </si>
  <si>
    <t>8 Residential Halls, 6 Faculties, Tractor &amp; Waste Compactor</t>
  </si>
  <si>
    <t>civil_lifesc_1</t>
  </si>
  <si>
    <t>+91 98230 25003</t>
  </si>
  <si>
    <t>Total Campus Workforce</t>
  </si>
  <si>
    <t>Tanveer Husain</t>
  </si>
  <si>
    <t>Projection &amp; Screen Tech</t>
  </si>
  <si>
    <t>itinf_lifesc_1</t>
  </si>
  <si>
    <t>+91 98230 25004</t>
  </si>
  <si>
    <t>ALL</t>
  </si>
  <si>
    <t>Shahid Mirza</t>
  </si>
  <si>
    <t>Hazardous Waste Cleaner</t>
  </si>
  <si>
    <t>clean_lifesc_1</t>
  </si>
  <si>
    <t>+91 98230 25005</t>
  </si>
  <si>
    <t>Khurram Ansari</t>
  </si>
  <si>
    <t>Lab Corridor Cleaner</t>
  </si>
  <si>
    <t>clean_lifesc_2</t>
  </si>
  <si>
    <t>+91 98230 25006</t>
  </si>
  <si>
    <t>Administrative &amp; Examination Block</t>
  </si>
  <si>
    <t>Majid Qureshi</t>
  </si>
  <si>
    <t>Main Switchgear Electrician</t>
  </si>
  <si>
    <t>elec_admini_1</t>
  </si>
  <si>
    <t>+91 98230 26001</t>
  </si>
  <si>
    <t>Shakeel Farooqi</t>
  </si>
  <si>
    <t>Integrated 24/7 campus facilities and infrastructure coverage</t>
  </si>
  <si>
    <t>Admin Washroom Plumber</t>
  </si>
  <si>
    <t>plumb_admini_1</t>
  </si>
  <si>
    <t>+91 98230 26002</t>
  </si>
  <si>
    <t>15 Primary Operating Units &amp; Heavy Reserve Fleet</t>
  </si>
  <si>
    <t>Naeem Siddiqui</t>
  </si>
  <si>
    <t>Executive Office Carpenter</t>
  </si>
  <si>
    <t>Facility Category</t>
  </si>
  <si>
    <t>civil_admini_1</t>
  </si>
  <si>
    <t>+91 98230 26003</t>
  </si>
  <si>
    <t>Units / Complexes</t>
  </si>
  <si>
    <t>Haroon Beg</t>
  </si>
  <si>
    <t>Boardroom Conference Tech</t>
  </si>
  <si>
    <t>Workforce Share</t>
  </si>
  <si>
    <t>itinf_admini_1</t>
  </si>
  <si>
    <t>+91 98230 26004</t>
  </si>
  <si>
    <t>Yusuf Usmani</t>
  </si>
  <si>
    <t>Administrative Floor Cleaner</t>
  </si>
  <si>
    <t>Residential Halls</t>
  </si>
  <si>
    <t>clean_admini_1</t>
  </si>
  <si>
    <t>8 Halls</t>
  </si>
  <si>
    <t>+91 98230 26005</t>
  </si>
  <si>
    <t>Aasif Khan</t>
  </si>
  <si>
    <t>Record Room Cleaner</t>
  </si>
  <si>
    <t>clean_admini_2</t>
  </si>
  <si>
    <t>+91 98230 26006</t>
  </si>
  <si>
    <t>Central Mobile &amp; Heavy Equipment Reserve</t>
  </si>
  <si>
    <t>Mansoor Haider</t>
  </si>
  <si>
    <t>11kV Substation &amp; Transformer Electrician</t>
  </si>
  <si>
    <t>elec_centra_1</t>
  </si>
  <si>
    <t>+91 98230 30001</t>
  </si>
  <si>
    <t>Shoaib Qureshi</t>
  </si>
  <si>
    <t>Central Street Lighting &amp; Generator Tech</t>
  </si>
  <si>
    <t>elec_centra_2</t>
  </si>
  <si>
    <t>+91 98230 30002</t>
  </si>
  <si>
    <t>Central Tube-Well &amp; Reservoir Operator</t>
  </si>
  <si>
    <t>plumb_centra_1</t>
  </si>
  <si>
    <t>+91 98230 30003</t>
  </si>
  <si>
    <t>Munawwar Beg</t>
  </si>
  <si>
    <t>Hydraulic Sewer Jetting Machine Operator</t>
  </si>
  <si>
    <t>Academic Faculties &amp; Admin Blocks</t>
  </si>
  <si>
    <t>6 Sectors</t>
  </si>
  <si>
    <t>plumb_centra_2</t>
  </si>
  <si>
    <t>+91 98230 30004</t>
  </si>
  <si>
    <t>Javed Mirza</t>
  </si>
  <si>
    <t>Structural Arc Welder &amp; Metal Fabricator</t>
  </si>
  <si>
    <t>civil_centra_1</t>
  </si>
  <si>
    <t>+91 98230 30005</t>
  </si>
  <si>
    <t>Anwar Farooqi</t>
  </si>
  <si>
    <t>Central Chiller Plant &amp; Central AC Tech</t>
  </si>
  <si>
    <t>civil_centra_2</t>
  </si>
  <si>
    <t>+91 98230 30006</t>
  </si>
  <si>
    <t>Campus Optical Fiber Splicing Specialist</t>
  </si>
  <si>
    <t>itinf_centra_1</t>
  </si>
  <si>
    <t>+91 98230 30007</t>
  </si>
  <si>
    <t>1 Fleet Unit</t>
  </si>
  <si>
    <t>Sultan Khan</t>
  </si>
  <si>
    <t>Central Waste Tractor &amp; Compactor Driver</t>
  </si>
  <si>
    <t>Total Across Facilities</t>
  </si>
  <si>
    <t>15 Operating Units</t>
  </si>
  <si>
    <t>clean_centra_1</t>
  </si>
  <si>
    <t>+91 98230 30008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</si>
</sst>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0.0"/>
      <color rgb="FF000000"/>
      <name val="Arial"/>
      <scheme val="minor"/>
    </font>
    <font>
      <b/>
      <sz val="14.0"/>
      <color rgb="FFFFFFFF"/>
      <name val="Roboto"/>
    </font>
    <font>
      <i/>
      <sz val="10.0"/>
      <color rgb="FFDCE0FF"/>
      <name val="Roboto"/>
    </font>
    <font>
      <b/>
      <sz val="10.0"/>
      <color rgb="FFFFFFFF"/>
      <name val="Roboto"/>
    </font>
    <font>
      <sz val="10.0"/>
      <color theme="1"/>
      <name val="Roboto"/>
    </font>
    <font>
      <b/>
      <sz val="10.0"/>
      <color theme="1"/>
      <name val="Roboto"/>
    </font>
    <font>
      <b/>
      <sz val="14.0"/>
      <color rgb="FF1E3989"/>
      <name val="Roboto"/>
    </font>
    <font>
      <b/>
      <sz val="9.0"/>
      <color rgb="FF767680"/>
      <name val="Roboto"/>
    </font>
    <font/>
    <font>
      <b/>
      <sz val="20.0"/>
      <color rgb="FF1E3989"/>
      <name val="Roboto"/>
    </font>
    <font>
      <i/>
      <sz val="9.0"/>
      <color rgb="FF596072"/>
      <name val="Roboto"/>
    </font>
    <font>
      <b/>
      <sz val="10.0"/>
      <color rgb="FF1E2B57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2D4374"/>
        <bgColor rgb="FF2D4374"/>
      </patternFill>
    </fill>
    <fill>
      <patternFill patternType="solid">
        <fgColor rgb="FF344479"/>
        <bgColor rgb="FF344479"/>
      </patternFill>
    </fill>
    <fill>
      <patternFill patternType="solid">
        <fgColor rgb="FFF6F8FD"/>
        <bgColor rgb="FFF6F8FD"/>
      </patternFill>
    </fill>
    <fill>
      <patternFill patternType="solid">
        <fgColor rgb="FF1F2B57"/>
        <bgColor rgb="FF1F2B57"/>
      </patternFill>
    </fill>
    <fill>
      <patternFill patternType="solid">
        <fgColor rgb="FFF4F6FA"/>
        <bgColor rgb="FFF4F6FA"/>
      </patternFill>
    </fill>
    <fill>
      <patternFill patternType="solid">
        <fgColor rgb="FFEAEEFA"/>
        <bgColor rgb="FFEAEEFA"/>
      </patternFill>
    </fill>
  </fills>
  <borders count="28">
    <border/>
    <border>
      <left style="thin">
        <color rgb="FFE0E5ED"/>
      </left>
      <right style="thin">
        <color rgb="FFE5EAF2"/>
      </right>
      <top style="thin">
        <color rgb="FF33447A"/>
      </top>
      <bottom style="thin">
        <color rgb="FFE0E5ED"/>
      </bottom>
    </border>
    <border>
      <left style="thin">
        <color rgb="FFE5EAF2"/>
      </left>
      <right style="thin">
        <color rgb="FFE5EAF2"/>
      </right>
      <top style="thin">
        <color rgb="FF33447A"/>
      </top>
      <bottom style="thin">
        <color rgb="FFE0E5ED"/>
      </bottom>
    </border>
    <border>
      <left style="thin">
        <color rgb="FFE5EAF2"/>
      </left>
      <right style="thin">
        <color rgb="FFE0E5ED"/>
      </right>
      <top style="thin">
        <color rgb="FF33447A"/>
      </top>
      <bottom style="thin">
        <color rgb="FFE0E5ED"/>
      </bottom>
    </border>
    <border>
      <left style="thin">
        <color rgb="FFE0E5ED"/>
      </left>
      <right style="thin">
        <color rgb="FFE5EAF2"/>
      </right>
      <top style="thin">
        <color rgb="FFE0E5ED"/>
      </top>
      <bottom style="thin">
        <color rgb="FFE0E5ED"/>
      </bottom>
    </border>
    <border>
      <left style="thin">
        <color rgb="FFE5EAF2"/>
      </left>
      <right style="thin">
        <color rgb="FFE5EAF2"/>
      </right>
      <top style="thin">
        <color rgb="FFE0E5ED"/>
      </top>
      <bottom style="thin">
        <color rgb="FFE0E5ED"/>
      </bottom>
    </border>
    <border>
      <left style="thin">
        <color rgb="FFE5EAF2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CCD3E5"/>
      </left>
      <top style="thin">
        <color rgb="FFCCD3E5"/>
      </top>
    </border>
    <border>
      <right style="thin">
        <color rgb="FFCCD3E5"/>
      </right>
      <top style="thin">
        <color rgb="FFCCD3E5"/>
      </top>
    </border>
    <border>
      <left style="thin">
        <color rgb="FFCCD3E5"/>
      </left>
      <right style="thin">
        <color rgb="FFCCD3E5"/>
      </right>
      <top style="thin">
        <color rgb="FFCCD3E5"/>
      </top>
    </border>
    <border>
      <left style="thin">
        <color rgb="FFCCD3E5"/>
      </left>
    </border>
    <border>
      <right style="thin">
        <color rgb="FFCCD3E5"/>
      </right>
    </border>
    <border>
      <left style="thin">
        <color rgb="FFCCD3E5"/>
      </left>
      <right style="thin">
        <color rgb="FFCCD3E5"/>
      </right>
    </border>
    <border>
      <left style="thin">
        <color rgb="FFCCD3E5"/>
      </left>
      <bottom style="thin">
        <color rgb="FFCCD3E5"/>
      </bottom>
    </border>
    <border>
      <right style="thin">
        <color rgb="FFCCD3E5"/>
      </right>
      <bottom style="thin">
        <color rgb="FFCCD3E5"/>
      </bottom>
    </border>
    <border>
      <left style="thin">
        <color rgb="FFCCD3E5"/>
      </left>
      <right style="thin">
        <color rgb="FFCCD3E5"/>
      </right>
      <bottom style="thin">
        <color rgb="FFCCD3E5"/>
      </bottom>
    </border>
    <border>
      <left style="thin">
        <color rgb="FFD8DDEA"/>
      </left>
      <top style="thin">
        <color rgb="FF1F2B57"/>
      </top>
      <bottom style="thin">
        <color rgb="FFD8DDEA"/>
      </bottom>
    </border>
    <border>
      <top style="thin">
        <color rgb="FF1F2B57"/>
      </top>
      <bottom style="thin">
        <color rgb="FFD8DDEA"/>
      </bottom>
    </border>
    <border>
      <right style="thin">
        <color rgb="FFD8DDEA"/>
      </right>
      <top style="thin">
        <color rgb="FF1F2B57"/>
      </top>
      <bottom style="thin">
        <color rgb="FFD8DDEA"/>
      </bottom>
    </border>
    <border>
      <left style="thin">
        <color rgb="FFD8DDEA"/>
      </left>
      <top style="thin">
        <color rgb="FFD8DDEA"/>
      </top>
      <bottom style="thin">
        <color rgb="FFD8DDEA"/>
      </bottom>
    </border>
    <border>
      <top style="thin">
        <color rgb="FFD8DDEA"/>
      </top>
      <bottom style="thin">
        <color rgb="FFD8DDEA"/>
      </bottom>
    </border>
    <border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top style="thin">
        <color rgb="FFD8DDEA"/>
      </top>
      <bottom style="medium">
        <color rgb="FF1F2B57"/>
      </bottom>
    </border>
    <border>
      <top style="thin">
        <color rgb="FFD8DDEA"/>
      </top>
      <bottom style="medium">
        <color rgb="FF1F2B57"/>
      </bottom>
    </border>
    <border>
      <right style="thin">
        <color rgb="FFD8DDEA"/>
      </right>
      <top style="thin">
        <color rgb="FFD8DDEA"/>
      </top>
      <bottom style="medium">
        <color rgb="FF1F2B57"/>
      </bottom>
    </border>
    <border>
      <left style="thin">
        <color rgb="FFE0E5ED"/>
      </left>
      <right style="thin">
        <color rgb="FFE5EAF2"/>
      </right>
      <top style="thin">
        <color rgb="FFE0E5ED"/>
      </top>
      <bottom style="medium">
        <color rgb="FF33447A"/>
      </bottom>
    </border>
    <border>
      <left style="thin">
        <color rgb="FFE5EAF2"/>
      </left>
      <right style="thin">
        <color rgb="FFE5EAF2"/>
      </right>
      <top style="thin">
        <color rgb="FFE0E5ED"/>
      </top>
      <bottom style="medium">
        <color rgb="FF33447A"/>
      </bottom>
    </border>
    <border>
      <left style="thin">
        <color rgb="FFE5EAF2"/>
      </left>
      <right style="thin">
        <color rgb="FFE0E5ED"/>
      </right>
      <top style="thin">
        <color rgb="FFE0E5ED"/>
      </top>
      <bottom style="medium">
        <color rgb="FF33447A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4" fontId="3" numFmtId="0" xfId="0" applyAlignment="1" applyBorder="1" applyFill="1" applyFont="1">
      <alignment horizontal="left" readingOrder="0" vertical="center"/>
    </xf>
    <xf borderId="2" fillId="4" fontId="3" numFmtId="0" xfId="0" applyAlignment="1" applyBorder="1" applyFill="1" applyFont="1">
      <alignment horizontal="left" readingOrder="0" vertical="center"/>
    </xf>
    <xf borderId="2" fillId="4" fontId="3" numFmtId="0" xfId="0" applyAlignment="1" applyBorder="1" applyFill="1" applyFont="1">
      <alignment horizontal="center" readingOrder="0" vertical="center"/>
    </xf>
    <xf borderId="3" fillId="4" fontId="3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5" fillId="0" fontId="5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center" readingOrder="0" vertical="center"/>
    </xf>
    <xf quotePrefix="1" borderId="6" fillId="0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7" fillId="5" fontId="7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9" fillId="5" fontId="7" numFmtId="0" xfId="0" applyAlignment="1" applyBorder="1" applyFill="1" applyFont="1">
      <alignment horizontal="center" readingOrder="0" vertical="center"/>
    </xf>
    <xf borderId="10" fillId="5" fontId="9" numFmtId="3" xfId="0" applyAlignment="1" applyBorder="1" applyFill="1" applyFont="1" applyNumberFormat="1">
      <alignment horizontal="center" vertical="center"/>
    </xf>
    <xf borderId="11" fillId="0" fontId="8" numFmtId="0" xfId="0" applyBorder="1" applyFont="1"/>
    <xf borderId="12" fillId="5" fontId="9" numFmtId="0" xfId="0" applyAlignment="1" applyBorder="1" applyFill="1" applyFont="1">
      <alignment horizontal="center" readingOrder="0" vertical="center"/>
    </xf>
    <xf borderId="10" fillId="5" fontId="9" numFmtId="0" xfId="0" applyAlignment="1" applyBorder="1" applyFill="1" applyFont="1">
      <alignment horizontal="center" readingOrder="0" vertical="center"/>
    </xf>
    <xf borderId="10" fillId="5" fontId="9" numFmtId="164" xfId="0" applyAlignment="1" applyBorder="1" applyFill="1" applyFont="1" applyNumberFormat="1">
      <alignment horizontal="center" vertical="center"/>
    </xf>
    <xf borderId="13" fillId="5" fontId="10" numFmtId="0" xfId="0" applyAlignment="1" applyBorder="1" applyFill="1" applyFont="1">
      <alignment horizontal="center" readingOrder="0" vertical="center"/>
    </xf>
    <xf borderId="14" fillId="0" fontId="8" numFmtId="0" xfId="0" applyBorder="1" applyFont="1"/>
    <xf borderId="15" fillId="5" fontId="10" numFmtId="0" xfId="0" applyAlignment="1" applyBorder="1" applyFill="1" applyFont="1">
      <alignment horizontal="center" readingOrder="0" vertical="center"/>
    </xf>
    <xf borderId="16" fillId="6" fontId="3" numFmtId="0" xfId="0" applyAlignment="1" applyBorder="1" applyFill="1" applyFont="1">
      <alignment horizontal="left" readingOrder="0" vertical="center"/>
    </xf>
    <xf borderId="17" fillId="6" fontId="3" numFmtId="0" xfId="0" applyAlignment="1" applyBorder="1" applyFill="1" applyFont="1">
      <alignment horizontal="center" readingOrder="0" vertical="center"/>
    </xf>
    <xf borderId="17" fillId="6" fontId="3" numFmtId="0" xfId="0" applyAlignment="1" applyBorder="1" applyFill="1" applyFont="1">
      <alignment horizontal="right" readingOrder="0" vertical="center"/>
    </xf>
    <xf borderId="17" fillId="6" fontId="3" numFmtId="0" xfId="0" applyAlignment="1" applyBorder="1" applyFill="1" applyFont="1">
      <alignment horizontal="left" readingOrder="0" vertical="center"/>
    </xf>
    <xf borderId="18" fillId="6" fontId="3" numFmtId="0" xfId="0" applyAlignment="1" applyBorder="1" applyFill="1" applyFont="1">
      <alignment horizontal="left" readingOrder="0" vertical="center"/>
    </xf>
    <xf borderId="19" fillId="0" fontId="5" numFmtId="0" xfId="0" applyAlignment="1" applyBorder="1" applyFont="1">
      <alignment horizontal="left" readingOrder="0" vertical="center"/>
    </xf>
    <xf borderId="20" fillId="0" fontId="4" numFmtId="0" xfId="0" applyAlignment="1" applyBorder="1" applyFont="1">
      <alignment horizontal="center" readingOrder="0" vertical="center"/>
    </xf>
    <xf borderId="20" fillId="0" fontId="4" numFmtId="3" xfId="0" applyAlignment="1" applyBorder="1" applyFont="1" applyNumberFormat="1">
      <alignment horizontal="right" vertical="center"/>
    </xf>
    <xf borderId="20" fillId="0" fontId="4" numFmtId="164" xfId="0" applyAlignment="1" applyBorder="1" applyFont="1" applyNumberFormat="1">
      <alignment horizontal="right" vertical="center"/>
    </xf>
    <xf borderId="20" fillId="0" fontId="4" numFmtId="0" xfId="0" applyAlignment="1" applyBorder="1" applyFont="1">
      <alignment horizontal="left" readingOrder="0" vertical="center"/>
    </xf>
    <xf borderId="21" fillId="0" fontId="4" numFmtId="0" xfId="0" applyAlignment="1" applyBorder="1" applyFont="1">
      <alignment horizontal="left" readingOrder="0" vertical="center"/>
    </xf>
    <xf borderId="19" fillId="7" fontId="5" numFmtId="0" xfId="0" applyAlignment="1" applyBorder="1" applyFill="1" applyFont="1">
      <alignment horizontal="left" readingOrder="0" vertical="center"/>
    </xf>
    <xf borderId="20" fillId="7" fontId="4" numFmtId="0" xfId="0" applyAlignment="1" applyBorder="1" applyFill="1" applyFont="1">
      <alignment horizontal="center" readingOrder="0" vertical="center"/>
    </xf>
    <xf borderId="20" fillId="7" fontId="4" numFmtId="3" xfId="0" applyAlignment="1" applyBorder="1" applyFill="1" applyFont="1" applyNumberFormat="1">
      <alignment horizontal="right" vertical="center"/>
    </xf>
    <xf borderId="20" fillId="7" fontId="4" numFmtId="164" xfId="0" applyAlignment="1" applyBorder="1" applyFill="1" applyFont="1" applyNumberFormat="1">
      <alignment horizontal="right" vertical="center"/>
    </xf>
    <xf borderId="20" fillId="7" fontId="4" numFmtId="0" xfId="0" applyAlignment="1" applyBorder="1" applyFill="1" applyFont="1">
      <alignment horizontal="left" readingOrder="0" vertical="center"/>
    </xf>
    <xf borderId="21" fillId="7" fontId="4" numFmtId="0" xfId="0" applyAlignment="1" applyBorder="1" applyFill="1" applyFont="1">
      <alignment horizontal="left" readingOrder="0" vertical="center"/>
    </xf>
    <xf borderId="22" fillId="8" fontId="11" numFmtId="0" xfId="0" applyAlignment="1" applyBorder="1" applyFill="1" applyFont="1">
      <alignment readingOrder="0" vertical="center"/>
    </xf>
    <xf borderId="23" fillId="8" fontId="11" numFmtId="0" xfId="0" applyAlignment="1" applyBorder="1" applyFill="1" applyFont="1">
      <alignment horizontal="center" readingOrder="0" vertical="center"/>
    </xf>
    <xf borderId="23" fillId="8" fontId="11" numFmtId="3" xfId="0" applyAlignment="1" applyBorder="1" applyFill="1" applyFont="1" applyNumberFormat="1">
      <alignment horizontal="right" vertical="center"/>
    </xf>
    <xf borderId="23" fillId="8" fontId="11" numFmtId="164" xfId="0" applyAlignment="1" applyBorder="1" applyFill="1" applyFont="1" applyNumberFormat="1">
      <alignment horizontal="right" vertical="center"/>
    </xf>
    <xf borderId="23" fillId="8" fontId="11" numFmtId="0" xfId="0" applyAlignment="1" applyBorder="1" applyFill="1" applyFont="1">
      <alignment readingOrder="0" vertical="center"/>
    </xf>
    <xf borderId="24" fillId="8" fontId="11" numFmtId="0" xfId="0" applyAlignment="1" applyBorder="1" applyFill="1" applyFont="1">
      <alignment readingOrder="0" vertical="center"/>
    </xf>
    <xf borderId="18" fillId="6" fontId="3" numFmtId="0" xfId="0" applyAlignment="1" applyBorder="1" applyFill="1" applyFont="1">
      <alignment horizontal="right" readingOrder="0" vertical="center"/>
    </xf>
    <xf borderId="21" fillId="0" fontId="4" numFmtId="164" xfId="0" applyAlignment="1" applyBorder="1" applyFont="1" applyNumberFormat="1">
      <alignment horizontal="right" vertical="center"/>
    </xf>
    <xf borderId="21" fillId="7" fontId="4" numFmtId="164" xfId="0" applyAlignment="1" applyBorder="1" applyFill="1" applyFont="1" applyNumberFormat="1">
      <alignment horizontal="right" vertical="center"/>
    </xf>
    <xf borderId="25" fillId="0" fontId="4" numFmtId="0" xfId="0" applyAlignment="1" applyBorder="1" applyFont="1">
      <alignment readingOrder="0" vertical="center"/>
    </xf>
    <xf borderId="26" fillId="0" fontId="5" numFmtId="0" xfId="0" applyAlignment="1" applyBorder="1" applyFont="1">
      <alignment readingOrder="0" vertical="center"/>
    </xf>
    <xf borderId="26" fillId="0" fontId="4" numFmtId="0" xfId="0" applyAlignment="1" applyBorder="1" applyFont="1">
      <alignment readingOrder="0" vertical="center"/>
    </xf>
    <xf borderId="26" fillId="0" fontId="4" numFmtId="0" xfId="0" applyAlignment="1" applyBorder="1" applyFont="1">
      <alignment horizontal="center" readingOrder="0" vertical="center"/>
    </xf>
    <xf quotePrefix="1" borderId="27" fillId="0" fontId="4" numFmtId="0" xfId="0" applyAlignment="1" applyBorder="1" applyFont="1">
      <alignment horizontal="center" readingOrder="0" vertical="center"/>
    </xf>
    <xf borderId="24" fillId="8" fontId="11" numFmtId="164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F6FA"/>
          <bgColor rgb="FFF4F6FA"/>
        </patternFill>
      </fill>
      <border/>
    </dxf>
  </dxfs>
  <tableStyles count="1">
    <tableStyle count="2" pivot="0" name="Staff Directory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Workforce Allocation by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'Department Summary'!$D$6</c:f>
            </c:strRef>
          </c:tx>
          <c:spPr>
            <a:solidFill>
              <a:srgbClr val="344479"/>
            </a:solidFill>
            <a:ln cmpd="sng">
              <a:noFill/>
            </a:ln>
          </c:spPr>
          <c:cat>
            <c:strRef>
              <c:f>'Department Summary'!$B$7:$B$11</c:f>
            </c:strRef>
          </c:cat>
          <c:val>
            <c:numRef>
              <c:f>'Department Summary'!$D$7:$D$11</c:f>
              <c:numCache/>
            </c:numRef>
          </c:val>
        </c:ser>
        <c:axId val="434936076"/>
        <c:axId val="308882752"/>
      </c:barChart>
      <c:catAx>
        <c:axId val="4349360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882752"/>
      </c:catAx>
      <c:valAx>
        <c:axId val="3088827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Staff Headcount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936076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13</xdr:row>
      <xdr:rowOff>95250</xdr:rowOff>
    </xdr:from>
    <xdr:ext cx="5524500" cy="3048000"/>
    <xdr:graphicFrame>
      <xdr:nvGraphicFramePr>
        <xdr:cNvPr id="1" name="Chart 1" title="Workforce Allocation by Departm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F159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taff Direc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7.0"/>
    <col customWidth="1" min="3" max="3" width="10.13"/>
    <col customWidth="1" min="4" max="4" width="12.0"/>
    <col customWidth="1" min="5" max="5" width="13.25"/>
    <col customWidth="1" min="6" max="6" width="32.63"/>
    <col customWidth="1" min="7" max="7" width="33.88"/>
  </cols>
  <sheetData>
    <row r="1" ht="27.0" customHeight="1">
      <c r="B1" s="12" t="s">
        <v>271</v>
      </c>
    </row>
    <row r="2" ht="18.0" customHeight="1">
      <c r="B2" s="13" t="s">
        <v>281</v>
      </c>
      <c r="C2" s="14"/>
      <c r="D2" s="15" t="s">
        <v>294</v>
      </c>
      <c r="E2" s="13" t="s">
        <v>296</v>
      </c>
      <c r="F2" s="14"/>
      <c r="G2" s="13" t="s">
        <v>300</v>
      </c>
      <c r="H2" s="14"/>
    </row>
    <row r="3" ht="24.0" customHeight="1">
      <c r="B3" s="16">
        <f>D12</f>
        <v>156</v>
      </c>
      <c r="C3" s="17"/>
      <c r="D3" s="18">
        <v>15.0</v>
      </c>
      <c r="E3" s="19">
        <v>5.0</v>
      </c>
      <c r="F3" s="17"/>
      <c r="G3" s="20">
        <f>E11</f>
        <v>0.5961538462</v>
      </c>
      <c r="H3" s="17"/>
    </row>
    <row r="4" ht="16.5" customHeight="1">
      <c r="B4" s="21" t="s">
        <v>338</v>
      </c>
      <c r="C4" s="22"/>
      <c r="D4" s="23" t="s">
        <v>348</v>
      </c>
      <c r="E4" s="21" t="s">
        <v>350</v>
      </c>
      <c r="F4" s="22"/>
      <c r="G4" s="21" t="s">
        <v>354</v>
      </c>
      <c r="H4" s="22"/>
    </row>
    <row r="6" ht="22.5" customHeight="1">
      <c r="B6" s="24" t="s">
        <v>5</v>
      </c>
      <c r="C6" s="25" t="s">
        <v>363</v>
      </c>
      <c r="D6" s="26" t="s">
        <v>366</v>
      </c>
      <c r="E6" s="26" t="s">
        <v>369</v>
      </c>
      <c r="F6" s="27" t="s">
        <v>370</v>
      </c>
      <c r="G6" s="28" t="s">
        <v>373</v>
      </c>
    </row>
    <row r="7" ht="19.5" customHeight="1">
      <c r="B7" s="29" t="s">
        <v>378</v>
      </c>
      <c r="C7" s="30" t="s">
        <v>381</v>
      </c>
      <c r="D7" s="31">
        <f>COUNTIF('Staff Directory'!$D$4:$D$159, "Electrical (ELEC)")</f>
        <v>16</v>
      </c>
      <c r="E7" s="32">
        <f t="shared" ref="E7:E11" si="1">D7/$D$12</f>
        <v>0.1025641026</v>
      </c>
      <c r="F7" s="33" t="s">
        <v>431</v>
      </c>
      <c r="G7" s="34" t="s">
        <v>433</v>
      </c>
    </row>
    <row r="8" ht="19.5" customHeight="1">
      <c r="B8" s="35" t="s">
        <v>437</v>
      </c>
      <c r="C8" s="36" t="s">
        <v>441</v>
      </c>
      <c r="D8" s="37">
        <f>COUNTIF('Staff Directory'!$D$4:$D$159, "Plumbing (PLUMB)")</f>
        <v>16</v>
      </c>
      <c r="E8" s="38">
        <f t="shared" si="1"/>
        <v>0.1025641026</v>
      </c>
      <c r="F8" s="39" t="s">
        <v>459</v>
      </c>
      <c r="G8" s="40" t="s">
        <v>464</v>
      </c>
    </row>
    <row r="9" ht="19.5" customHeight="1">
      <c r="B9" s="29" t="s">
        <v>468</v>
      </c>
      <c r="C9" s="30" t="s">
        <v>470</v>
      </c>
      <c r="D9" s="31">
        <f>COUNTIF('Staff Directory'!$D$4:$D$159, "Civil (CIVIL)")</f>
        <v>16</v>
      </c>
      <c r="E9" s="32">
        <f t="shared" si="1"/>
        <v>0.1025641026</v>
      </c>
      <c r="F9" s="33" t="s">
        <v>480</v>
      </c>
      <c r="G9" s="34" t="s">
        <v>482</v>
      </c>
    </row>
    <row r="10" ht="19.5" customHeight="1">
      <c r="B10" s="35" t="s">
        <v>484</v>
      </c>
      <c r="C10" s="36" t="s">
        <v>486</v>
      </c>
      <c r="D10" s="37">
        <f>COUNTIF('Staff Directory'!$D$4:$D$159, "IT &amp; AV (ITINF)")</f>
        <v>15</v>
      </c>
      <c r="E10" s="38">
        <f t="shared" si="1"/>
        <v>0.09615384615</v>
      </c>
      <c r="F10" s="39" t="s">
        <v>494</v>
      </c>
      <c r="G10" s="40" t="s">
        <v>496</v>
      </c>
    </row>
    <row r="11" ht="19.5" customHeight="1">
      <c r="B11" s="29" t="s">
        <v>498</v>
      </c>
      <c r="C11" s="30" t="s">
        <v>499</v>
      </c>
      <c r="D11" s="31">
        <f>COUNTIF('Staff Directory'!$D$4:$D$159, "Sanitation (CLEAN)")</f>
        <v>93</v>
      </c>
      <c r="E11" s="32">
        <f t="shared" si="1"/>
        <v>0.5961538462</v>
      </c>
      <c r="F11" s="33" t="s">
        <v>509</v>
      </c>
      <c r="G11" s="34" t="s">
        <v>511</v>
      </c>
    </row>
    <row r="12" ht="19.5" customHeight="1">
      <c r="B12" s="41" t="s">
        <v>514</v>
      </c>
      <c r="C12" s="42" t="s">
        <v>519</v>
      </c>
      <c r="D12" s="43">
        <f t="shared" ref="D12:E12" si="2">SUM(D7:D11)</f>
        <v>156</v>
      </c>
      <c r="E12" s="44">
        <f t="shared" si="2"/>
        <v>1</v>
      </c>
      <c r="F12" s="45" t="s">
        <v>534</v>
      </c>
      <c r="G12" s="46" t="s">
        <v>538</v>
      </c>
    </row>
    <row r="15" ht="22.5" customHeight="1">
      <c r="B15" s="24" t="s">
        <v>541</v>
      </c>
      <c r="C15" s="25" t="s">
        <v>544</v>
      </c>
      <c r="D15" s="26" t="s">
        <v>366</v>
      </c>
      <c r="E15" s="47" t="s">
        <v>547</v>
      </c>
    </row>
    <row r="16" ht="19.5" customHeight="1">
      <c r="B16" s="29" t="s">
        <v>552</v>
      </c>
      <c r="C16" s="30" t="s">
        <v>554</v>
      </c>
      <c r="D16" s="31">
        <f>COUNTIF('Staff Directory'!$A$4:$A$159, "*Hall*")</f>
        <v>112</v>
      </c>
      <c r="E16" s="48">
        <f t="shared" ref="E16:E18" si="3">D16/$D$19</f>
        <v>0.7179487179</v>
      </c>
    </row>
    <row r="17" ht="19.5" customHeight="1">
      <c r="B17" s="35" t="s">
        <v>574</v>
      </c>
      <c r="C17" s="36" t="s">
        <v>575</v>
      </c>
      <c r="D17" s="37">
        <f>COUNTIF('Staff Directory'!$A$4:$A$159, "*Faculty*")+COUNTIF('Staff Directory'!$A$4:$A$159, "*Administrative*")</f>
        <v>36</v>
      </c>
      <c r="E17" s="49">
        <f t="shared" si="3"/>
        <v>0.2307692308</v>
      </c>
    </row>
    <row r="18" ht="19.5" customHeight="1">
      <c r="B18" s="29" t="s">
        <v>560</v>
      </c>
      <c r="C18" s="30" t="s">
        <v>589</v>
      </c>
      <c r="D18" s="31">
        <f>COUNTIF('Staff Directory'!$A$4:$A$159, "*Central*")</f>
        <v>8</v>
      </c>
      <c r="E18" s="48">
        <f t="shared" si="3"/>
        <v>0.05128205128</v>
      </c>
    </row>
    <row r="19" ht="19.5" customHeight="1">
      <c r="B19" s="41" t="s">
        <v>592</v>
      </c>
      <c r="C19" s="42" t="s">
        <v>593</v>
      </c>
      <c r="D19" s="43">
        <f t="shared" ref="D19:E19" si="4">SUM(D16:D18)</f>
        <v>156</v>
      </c>
      <c r="E19" s="55">
        <f t="shared" si="4"/>
        <v>1</v>
      </c>
    </row>
  </sheetData>
  <mergeCells count="10">
    <mergeCell ref="G3:H3"/>
    <mergeCell ref="G4:H4"/>
    <mergeCell ref="B2:C2"/>
    <mergeCell ref="B3:C3"/>
    <mergeCell ref="B4:C4"/>
    <mergeCell ref="E2:F2"/>
    <mergeCell ref="E3:F3"/>
    <mergeCell ref="E4:F4"/>
    <mergeCell ref="G2:H2"/>
    <mergeCell ref="B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0.25"/>
    <col customWidth="1" min="2" max="2" width="17.88"/>
    <col customWidth="1" min="3" max="3" width="31.38"/>
    <col customWidth="1" min="4" max="4" width="14.88"/>
    <col customWidth="1" min="5" max="5" width="14.0"/>
    <col customWidth="1" min="6" max="6" width="13.0"/>
  </cols>
  <sheetData>
    <row r="1" ht="28.5" customHeight="1">
      <c r="A1" s="1" t="s">
        <v>0</v>
      </c>
    </row>
    <row r="2" ht="18.0" customHeight="1">
      <c r="A2" s="2" t="s">
        <v>1</v>
      </c>
    </row>
    <row r="3" ht="24.0" customHeight="1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 t="s">
        <v>7</v>
      </c>
    </row>
    <row r="4">
      <c r="A4" s="7" t="s">
        <v>8</v>
      </c>
      <c r="B4" s="8" t="s">
        <v>9</v>
      </c>
      <c r="C4" s="9" t="s">
        <v>10</v>
      </c>
      <c r="D4" s="9" t="s">
        <v>11</v>
      </c>
      <c r="E4" s="10" t="s">
        <v>12</v>
      </c>
      <c r="F4" s="11" t="s">
        <v>13</v>
      </c>
    </row>
    <row r="5">
      <c r="A5" s="7" t="s">
        <v>8</v>
      </c>
      <c r="B5" s="8" t="s">
        <v>14</v>
      </c>
      <c r="C5" s="9" t="s">
        <v>15</v>
      </c>
      <c r="D5" s="9" t="s">
        <v>16</v>
      </c>
      <c r="E5" s="10" t="s">
        <v>17</v>
      </c>
      <c r="F5" s="11" t="s">
        <v>18</v>
      </c>
    </row>
    <row r="6">
      <c r="A6" s="7" t="s">
        <v>8</v>
      </c>
      <c r="B6" s="8" t="s">
        <v>19</v>
      </c>
      <c r="C6" s="9" t="s">
        <v>20</v>
      </c>
      <c r="D6" s="9" t="s">
        <v>21</v>
      </c>
      <c r="E6" s="10" t="s">
        <v>22</v>
      </c>
      <c r="F6" s="11" t="s">
        <v>23</v>
      </c>
    </row>
    <row r="7">
      <c r="A7" s="7" t="s">
        <v>8</v>
      </c>
      <c r="B7" s="8" t="s">
        <v>24</v>
      </c>
      <c r="C7" s="9" t="s">
        <v>25</v>
      </c>
      <c r="D7" s="9" t="s">
        <v>26</v>
      </c>
      <c r="E7" s="10" t="s">
        <v>27</v>
      </c>
      <c r="F7" s="11" t="s">
        <v>28</v>
      </c>
    </row>
    <row r="8">
      <c r="A8" s="7" t="s">
        <v>8</v>
      </c>
      <c r="B8" s="8" t="s">
        <v>29</v>
      </c>
      <c r="C8" s="9" t="s">
        <v>30</v>
      </c>
      <c r="D8" s="9" t="s">
        <v>31</v>
      </c>
      <c r="E8" s="10" t="s">
        <v>32</v>
      </c>
      <c r="F8" s="11" t="s">
        <v>33</v>
      </c>
    </row>
    <row r="9">
      <c r="A9" s="7" t="s">
        <v>8</v>
      </c>
      <c r="B9" s="8" t="s">
        <v>34</v>
      </c>
      <c r="C9" s="9" t="s">
        <v>35</v>
      </c>
      <c r="D9" s="9" t="s">
        <v>31</v>
      </c>
      <c r="E9" s="10" t="s">
        <v>36</v>
      </c>
      <c r="F9" s="11" t="s">
        <v>37</v>
      </c>
    </row>
    <row r="10">
      <c r="A10" s="7" t="s">
        <v>8</v>
      </c>
      <c r="B10" s="8" t="s">
        <v>38</v>
      </c>
      <c r="C10" s="9" t="s">
        <v>35</v>
      </c>
      <c r="D10" s="9" t="s">
        <v>31</v>
      </c>
      <c r="E10" s="10" t="s">
        <v>39</v>
      </c>
      <c r="F10" s="11" t="s">
        <v>40</v>
      </c>
    </row>
    <row r="11">
      <c r="A11" s="7" t="s">
        <v>8</v>
      </c>
      <c r="B11" s="8" t="s">
        <v>41</v>
      </c>
      <c r="C11" s="9" t="s">
        <v>35</v>
      </c>
      <c r="D11" s="9" t="s">
        <v>31</v>
      </c>
      <c r="E11" s="10" t="s">
        <v>42</v>
      </c>
      <c r="F11" s="11" t="s">
        <v>43</v>
      </c>
    </row>
    <row r="12">
      <c r="A12" s="7" t="s">
        <v>8</v>
      </c>
      <c r="B12" s="8" t="s">
        <v>44</v>
      </c>
      <c r="C12" s="9" t="s">
        <v>35</v>
      </c>
      <c r="D12" s="9" t="s">
        <v>31</v>
      </c>
      <c r="E12" s="10" t="s">
        <v>45</v>
      </c>
      <c r="F12" s="11" t="s">
        <v>46</v>
      </c>
    </row>
    <row r="13">
      <c r="A13" s="7" t="s">
        <v>8</v>
      </c>
      <c r="B13" s="8" t="s">
        <v>47</v>
      </c>
      <c r="C13" s="9" t="s">
        <v>35</v>
      </c>
      <c r="D13" s="9" t="s">
        <v>31</v>
      </c>
      <c r="E13" s="10" t="s">
        <v>48</v>
      </c>
      <c r="F13" s="11" t="s">
        <v>49</v>
      </c>
    </row>
    <row r="14">
      <c r="A14" s="7" t="s">
        <v>8</v>
      </c>
      <c r="B14" s="8" t="s">
        <v>50</v>
      </c>
      <c r="C14" s="9" t="s">
        <v>35</v>
      </c>
      <c r="D14" s="9" t="s">
        <v>31</v>
      </c>
      <c r="E14" s="10" t="s">
        <v>51</v>
      </c>
      <c r="F14" s="11" t="s">
        <v>52</v>
      </c>
    </row>
    <row r="15">
      <c r="A15" s="7" t="s">
        <v>8</v>
      </c>
      <c r="B15" s="8" t="s">
        <v>53</v>
      </c>
      <c r="C15" s="9" t="s">
        <v>35</v>
      </c>
      <c r="D15" s="9" t="s">
        <v>31</v>
      </c>
      <c r="E15" s="10" t="s">
        <v>54</v>
      </c>
      <c r="F15" s="11" t="s">
        <v>55</v>
      </c>
    </row>
    <row r="16">
      <c r="A16" s="7" t="s">
        <v>8</v>
      </c>
      <c r="B16" s="8" t="s">
        <v>56</v>
      </c>
      <c r="C16" s="9" t="s">
        <v>35</v>
      </c>
      <c r="D16" s="9" t="s">
        <v>31</v>
      </c>
      <c r="E16" s="10" t="s">
        <v>57</v>
      </c>
      <c r="F16" s="11" t="s">
        <v>58</v>
      </c>
    </row>
    <row r="17">
      <c r="A17" s="7" t="s">
        <v>8</v>
      </c>
      <c r="B17" s="8" t="s">
        <v>59</v>
      </c>
      <c r="C17" s="9" t="s">
        <v>60</v>
      </c>
      <c r="D17" s="9" t="s">
        <v>31</v>
      </c>
      <c r="E17" s="10" t="s">
        <v>61</v>
      </c>
      <c r="F17" s="11" t="s">
        <v>62</v>
      </c>
    </row>
    <row r="18">
      <c r="A18" s="7" t="s">
        <v>63</v>
      </c>
      <c r="B18" s="8" t="s">
        <v>64</v>
      </c>
      <c r="C18" s="9" t="s">
        <v>10</v>
      </c>
      <c r="D18" s="9" t="s">
        <v>11</v>
      </c>
      <c r="E18" s="10" t="s">
        <v>65</v>
      </c>
      <c r="F18" s="11" t="s">
        <v>66</v>
      </c>
    </row>
    <row r="19">
      <c r="A19" s="7" t="s">
        <v>63</v>
      </c>
      <c r="B19" s="8" t="s">
        <v>67</v>
      </c>
      <c r="C19" s="9" t="s">
        <v>68</v>
      </c>
      <c r="D19" s="9" t="s">
        <v>16</v>
      </c>
      <c r="E19" s="10" t="s">
        <v>69</v>
      </c>
      <c r="F19" s="11" t="s">
        <v>70</v>
      </c>
    </row>
    <row r="20">
      <c r="A20" s="7" t="s">
        <v>63</v>
      </c>
      <c r="B20" s="8" t="s">
        <v>71</v>
      </c>
      <c r="C20" s="9" t="s">
        <v>72</v>
      </c>
      <c r="D20" s="9" t="s">
        <v>21</v>
      </c>
      <c r="E20" s="10" t="s">
        <v>73</v>
      </c>
      <c r="F20" s="11" t="s">
        <v>74</v>
      </c>
    </row>
    <row r="21">
      <c r="A21" s="7" t="s">
        <v>63</v>
      </c>
      <c r="B21" s="8" t="s">
        <v>75</v>
      </c>
      <c r="C21" s="9" t="s">
        <v>76</v>
      </c>
      <c r="D21" s="9" t="s">
        <v>26</v>
      </c>
      <c r="E21" s="10" t="s">
        <v>77</v>
      </c>
      <c r="F21" s="11" t="s">
        <v>78</v>
      </c>
    </row>
    <row r="22">
      <c r="A22" s="7" t="s">
        <v>63</v>
      </c>
      <c r="B22" s="8" t="s">
        <v>79</v>
      </c>
      <c r="C22" s="9" t="s">
        <v>80</v>
      </c>
      <c r="D22" s="9" t="s">
        <v>31</v>
      </c>
      <c r="E22" s="10" t="s">
        <v>81</v>
      </c>
      <c r="F22" s="11" t="s">
        <v>82</v>
      </c>
    </row>
    <row r="23">
      <c r="A23" s="7" t="s">
        <v>63</v>
      </c>
      <c r="B23" s="8" t="s">
        <v>83</v>
      </c>
      <c r="C23" s="9" t="s">
        <v>35</v>
      </c>
      <c r="D23" s="9" t="s">
        <v>31</v>
      </c>
      <c r="E23" s="10" t="s">
        <v>84</v>
      </c>
      <c r="F23" s="11" t="s">
        <v>85</v>
      </c>
    </row>
    <row r="24">
      <c r="A24" s="7" t="s">
        <v>63</v>
      </c>
      <c r="B24" s="8" t="s">
        <v>86</v>
      </c>
      <c r="C24" s="9" t="s">
        <v>35</v>
      </c>
      <c r="D24" s="9" t="s">
        <v>31</v>
      </c>
      <c r="E24" s="10" t="s">
        <v>87</v>
      </c>
      <c r="F24" s="11" t="s">
        <v>88</v>
      </c>
    </row>
    <row r="25">
      <c r="A25" s="7" t="s">
        <v>63</v>
      </c>
      <c r="B25" s="8" t="s">
        <v>89</v>
      </c>
      <c r="C25" s="9" t="s">
        <v>35</v>
      </c>
      <c r="D25" s="9" t="s">
        <v>31</v>
      </c>
      <c r="E25" s="10" t="s">
        <v>90</v>
      </c>
      <c r="F25" s="11" t="s">
        <v>91</v>
      </c>
    </row>
    <row r="26">
      <c r="A26" s="7" t="s">
        <v>63</v>
      </c>
      <c r="B26" s="8" t="s">
        <v>92</v>
      </c>
      <c r="C26" s="9" t="s">
        <v>35</v>
      </c>
      <c r="D26" s="9" t="s">
        <v>31</v>
      </c>
      <c r="E26" s="10" t="s">
        <v>93</v>
      </c>
      <c r="F26" s="11" t="s">
        <v>94</v>
      </c>
    </row>
    <row r="27">
      <c r="A27" s="7" t="s">
        <v>63</v>
      </c>
      <c r="B27" s="8" t="s">
        <v>95</v>
      </c>
      <c r="C27" s="9" t="s">
        <v>35</v>
      </c>
      <c r="D27" s="9" t="s">
        <v>31</v>
      </c>
      <c r="E27" s="10" t="s">
        <v>96</v>
      </c>
      <c r="F27" s="11" t="s">
        <v>97</v>
      </c>
    </row>
    <row r="28">
      <c r="A28" s="7" t="s">
        <v>63</v>
      </c>
      <c r="B28" s="8" t="s">
        <v>98</v>
      </c>
      <c r="C28" s="9" t="s">
        <v>35</v>
      </c>
      <c r="D28" s="9" t="s">
        <v>31</v>
      </c>
      <c r="E28" s="10" t="s">
        <v>99</v>
      </c>
      <c r="F28" s="11" t="s">
        <v>100</v>
      </c>
    </row>
    <row r="29">
      <c r="A29" s="7" t="s">
        <v>63</v>
      </c>
      <c r="B29" s="8" t="s">
        <v>101</v>
      </c>
      <c r="C29" s="9" t="s">
        <v>35</v>
      </c>
      <c r="D29" s="9" t="s">
        <v>31</v>
      </c>
      <c r="E29" s="10" t="s">
        <v>102</v>
      </c>
      <c r="F29" s="11" t="s">
        <v>103</v>
      </c>
    </row>
    <row r="30">
      <c r="A30" s="7" t="s">
        <v>63</v>
      </c>
      <c r="B30" s="8" t="s">
        <v>104</v>
      </c>
      <c r="C30" s="9" t="s">
        <v>35</v>
      </c>
      <c r="D30" s="9" t="s">
        <v>31</v>
      </c>
      <c r="E30" s="10" t="s">
        <v>105</v>
      </c>
      <c r="F30" s="11" t="s">
        <v>106</v>
      </c>
    </row>
    <row r="31">
      <c r="A31" s="7" t="s">
        <v>63</v>
      </c>
      <c r="B31" s="8" t="s">
        <v>107</v>
      </c>
      <c r="C31" s="9" t="s">
        <v>60</v>
      </c>
      <c r="D31" s="9" t="s">
        <v>31</v>
      </c>
      <c r="E31" s="10" t="s">
        <v>108</v>
      </c>
      <c r="F31" s="11" t="s">
        <v>109</v>
      </c>
    </row>
    <row r="32">
      <c r="A32" s="7" t="s">
        <v>110</v>
      </c>
      <c r="B32" s="8" t="s">
        <v>111</v>
      </c>
      <c r="C32" s="9" t="s">
        <v>10</v>
      </c>
      <c r="D32" s="9" t="s">
        <v>11</v>
      </c>
      <c r="E32" s="10" t="s">
        <v>112</v>
      </c>
      <c r="F32" s="11" t="s">
        <v>113</v>
      </c>
    </row>
    <row r="33">
      <c r="A33" s="7" t="s">
        <v>110</v>
      </c>
      <c r="B33" s="8" t="s">
        <v>114</v>
      </c>
      <c r="C33" s="9" t="s">
        <v>68</v>
      </c>
      <c r="D33" s="9" t="s">
        <v>16</v>
      </c>
      <c r="E33" s="10" t="s">
        <v>115</v>
      </c>
      <c r="F33" s="11" t="s">
        <v>116</v>
      </c>
    </row>
    <row r="34">
      <c r="A34" s="7" t="s">
        <v>110</v>
      </c>
      <c r="B34" s="8" t="s">
        <v>117</v>
      </c>
      <c r="C34" s="9" t="s">
        <v>72</v>
      </c>
      <c r="D34" s="9" t="s">
        <v>21</v>
      </c>
      <c r="E34" s="10" t="s">
        <v>118</v>
      </c>
      <c r="F34" s="11" t="s">
        <v>119</v>
      </c>
    </row>
    <row r="35">
      <c r="A35" s="7" t="s">
        <v>110</v>
      </c>
      <c r="B35" s="8" t="s">
        <v>120</v>
      </c>
      <c r="C35" s="9" t="s">
        <v>121</v>
      </c>
      <c r="D35" s="9" t="s">
        <v>26</v>
      </c>
      <c r="E35" s="10" t="s">
        <v>122</v>
      </c>
      <c r="F35" s="11" t="s">
        <v>123</v>
      </c>
    </row>
    <row r="36">
      <c r="A36" s="7" t="s">
        <v>110</v>
      </c>
      <c r="B36" s="8" t="s">
        <v>124</v>
      </c>
      <c r="C36" s="9" t="s">
        <v>80</v>
      </c>
      <c r="D36" s="9" t="s">
        <v>31</v>
      </c>
      <c r="E36" s="10" t="s">
        <v>125</v>
      </c>
      <c r="F36" s="11" t="s">
        <v>126</v>
      </c>
    </row>
    <row r="37">
      <c r="A37" s="7" t="s">
        <v>110</v>
      </c>
      <c r="B37" s="8" t="s">
        <v>127</v>
      </c>
      <c r="C37" s="9" t="s">
        <v>35</v>
      </c>
      <c r="D37" s="9" t="s">
        <v>31</v>
      </c>
      <c r="E37" s="10" t="s">
        <v>128</v>
      </c>
      <c r="F37" s="11" t="s">
        <v>129</v>
      </c>
    </row>
    <row r="38">
      <c r="A38" s="7" t="s">
        <v>110</v>
      </c>
      <c r="B38" s="8" t="s">
        <v>130</v>
      </c>
      <c r="C38" s="9" t="s">
        <v>35</v>
      </c>
      <c r="D38" s="9" t="s">
        <v>31</v>
      </c>
      <c r="E38" s="10" t="s">
        <v>131</v>
      </c>
      <c r="F38" s="11" t="s">
        <v>132</v>
      </c>
    </row>
    <row r="39">
      <c r="A39" s="7" t="s">
        <v>110</v>
      </c>
      <c r="B39" s="8" t="s">
        <v>133</v>
      </c>
      <c r="C39" s="9" t="s">
        <v>35</v>
      </c>
      <c r="D39" s="9" t="s">
        <v>31</v>
      </c>
      <c r="E39" s="10" t="s">
        <v>134</v>
      </c>
      <c r="F39" s="11" t="s">
        <v>135</v>
      </c>
    </row>
    <row r="40">
      <c r="A40" s="7" t="s">
        <v>110</v>
      </c>
      <c r="B40" s="8" t="s">
        <v>136</v>
      </c>
      <c r="C40" s="9" t="s">
        <v>35</v>
      </c>
      <c r="D40" s="9" t="s">
        <v>31</v>
      </c>
      <c r="E40" s="10" t="s">
        <v>137</v>
      </c>
      <c r="F40" s="11" t="s">
        <v>138</v>
      </c>
    </row>
    <row r="41">
      <c r="A41" s="7" t="s">
        <v>110</v>
      </c>
      <c r="B41" s="8" t="s">
        <v>139</v>
      </c>
      <c r="C41" s="9" t="s">
        <v>35</v>
      </c>
      <c r="D41" s="9" t="s">
        <v>31</v>
      </c>
      <c r="E41" s="10" t="s">
        <v>140</v>
      </c>
      <c r="F41" s="11" t="s">
        <v>141</v>
      </c>
    </row>
    <row r="42">
      <c r="A42" s="7" t="s">
        <v>110</v>
      </c>
      <c r="B42" s="8" t="s">
        <v>142</v>
      </c>
      <c r="C42" s="9" t="s">
        <v>35</v>
      </c>
      <c r="D42" s="9" t="s">
        <v>31</v>
      </c>
      <c r="E42" s="10" t="s">
        <v>143</v>
      </c>
      <c r="F42" s="11" t="s">
        <v>144</v>
      </c>
    </row>
    <row r="43">
      <c r="A43" s="7" t="s">
        <v>110</v>
      </c>
      <c r="B43" s="8" t="s">
        <v>145</v>
      </c>
      <c r="C43" s="9" t="s">
        <v>35</v>
      </c>
      <c r="D43" s="9" t="s">
        <v>31</v>
      </c>
      <c r="E43" s="10" t="s">
        <v>146</v>
      </c>
      <c r="F43" s="11" t="s">
        <v>147</v>
      </c>
    </row>
    <row r="44">
      <c r="A44" s="7" t="s">
        <v>110</v>
      </c>
      <c r="B44" s="8" t="s">
        <v>148</v>
      </c>
      <c r="C44" s="9" t="s">
        <v>35</v>
      </c>
      <c r="D44" s="9" t="s">
        <v>31</v>
      </c>
      <c r="E44" s="10" t="s">
        <v>149</v>
      </c>
      <c r="F44" s="11" t="s">
        <v>150</v>
      </c>
    </row>
    <row r="45">
      <c r="A45" s="7" t="s">
        <v>110</v>
      </c>
      <c r="B45" s="8" t="s">
        <v>151</v>
      </c>
      <c r="C45" s="9" t="s">
        <v>60</v>
      </c>
      <c r="D45" s="9" t="s">
        <v>31</v>
      </c>
      <c r="E45" s="10" t="s">
        <v>152</v>
      </c>
      <c r="F45" s="11" t="s">
        <v>153</v>
      </c>
    </row>
    <row r="46">
      <c r="A46" s="7" t="s">
        <v>154</v>
      </c>
      <c r="B46" s="8" t="s">
        <v>155</v>
      </c>
      <c r="C46" s="9" t="s">
        <v>10</v>
      </c>
      <c r="D46" s="9" t="s">
        <v>11</v>
      </c>
      <c r="E46" s="10" t="s">
        <v>156</v>
      </c>
      <c r="F46" s="11" t="s">
        <v>157</v>
      </c>
    </row>
    <row r="47">
      <c r="A47" s="7" t="s">
        <v>154</v>
      </c>
      <c r="B47" s="8" t="s">
        <v>158</v>
      </c>
      <c r="C47" s="9" t="s">
        <v>68</v>
      </c>
      <c r="D47" s="9" t="s">
        <v>16</v>
      </c>
      <c r="E47" s="10" t="s">
        <v>159</v>
      </c>
      <c r="F47" s="11" t="s">
        <v>160</v>
      </c>
    </row>
    <row r="48">
      <c r="A48" s="7" t="s">
        <v>154</v>
      </c>
      <c r="B48" s="8" t="s">
        <v>161</v>
      </c>
      <c r="C48" s="9" t="s">
        <v>72</v>
      </c>
      <c r="D48" s="9" t="s">
        <v>21</v>
      </c>
      <c r="E48" s="10" t="s">
        <v>162</v>
      </c>
      <c r="F48" s="11" t="s">
        <v>163</v>
      </c>
    </row>
    <row r="49">
      <c r="A49" s="7" t="s">
        <v>154</v>
      </c>
      <c r="B49" s="8" t="s">
        <v>164</v>
      </c>
      <c r="C49" s="9" t="s">
        <v>121</v>
      </c>
      <c r="D49" s="9" t="s">
        <v>26</v>
      </c>
      <c r="E49" s="10" t="s">
        <v>165</v>
      </c>
      <c r="F49" s="11" t="s">
        <v>166</v>
      </c>
    </row>
    <row r="50">
      <c r="A50" s="7" t="s">
        <v>154</v>
      </c>
      <c r="B50" s="8" t="s">
        <v>167</v>
      </c>
      <c r="C50" s="9" t="s">
        <v>80</v>
      </c>
      <c r="D50" s="9" t="s">
        <v>31</v>
      </c>
      <c r="E50" s="10" t="s">
        <v>168</v>
      </c>
      <c r="F50" s="11" t="s">
        <v>169</v>
      </c>
    </row>
    <row r="51">
      <c r="A51" s="7" t="s">
        <v>154</v>
      </c>
      <c r="B51" s="8" t="s">
        <v>170</v>
      </c>
      <c r="C51" s="9" t="s">
        <v>35</v>
      </c>
      <c r="D51" s="9" t="s">
        <v>31</v>
      </c>
      <c r="E51" s="10" t="s">
        <v>171</v>
      </c>
      <c r="F51" s="11" t="s">
        <v>172</v>
      </c>
    </row>
    <row r="52">
      <c r="A52" s="7" t="s">
        <v>154</v>
      </c>
      <c r="B52" s="8" t="s">
        <v>173</v>
      </c>
      <c r="C52" s="9" t="s">
        <v>35</v>
      </c>
      <c r="D52" s="9" t="s">
        <v>31</v>
      </c>
      <c r="E52" s="10" t="s">
        <v>174</v>
      </c>
      <c r="F52" s="11" t="s">
        <v>175</v>
      </c>
    </row>
    <row r="53">
      <c r="A53" s="7" t="s">
        <v>154</v>
      </c>
      <c r="B53" s="8" t="s">
        <v>176</v>
      </c>
      <c r="C53" s="9" t="s">
        <v>35</v>
      </c>
      <c r="D53" s="9" t="s">
        <v>31</v>
      </c>
      <c r="E53" s="10" t="s">
        <v>177</v>
      </c>
      <c r="F53" s="11" t="s">
        <v>178</v>
      </c>
    </row>
    <row r="54">
      <c r="A54" s="7" t="s">
        <v>154</v>
      </c>
      <c r="B54" s="8" t="s">
        <v>179</v>
      </c>
      <c r="C54" s="9" t="s">
        <v>35</v>
      </c>
      <c r="D54" s="9" t="s">
        <v>31</v>
      </c>
      <c r="E54" s="10" t="s">
        <v>180</v>
      </c>
      <c r="F54" s="11" t="s">
        <v>181</v>
      </c>
    </row>
    <row r="55">
      <c r="A55" s="7" t="s">
        <v>154</v>
      </c>
      <c r="B55" s="8" t="s">
        <v>182</v>
      </c>
      <c r="C55" s="9" t="s">
        <v>35</v>
      </c>
      <c r="D55" s="9" t="s">
        <v>31</v>
      </c>
      <c r="E55" s="10" t="s">
        <v>183</v>
      </c>
      <c r="F55" s="11" t="s">
        <v>184</v>
      </c>
    </row>
    <row r="56">
      <c r="A56" s="7" t="s">
        <v>154</v>
      </c>
      <c r="B56" s="8" t="s">
        <v>185</v>
      </c>
      <c r="C56" s="9" t="s">
        <v>35</v>
      </c>
      <c r="D56" s="9" t="s">
        <v>31</v>
      </c>
      <c r="E56" s="10" t="s">
        <v>186</v>
      </c>
      <c r="F56" s="11" t="s">
        <v>187</v>
      </c>
    </row>
    <row r="57">
      <c r="A57" s="7" t="s">
        <v>154</v>
      </c>
      <c r="B57" s="8" t="s">
        <v>188</v>
      </c>
      <c r="C57" s="9" t="s">
        <v>35</v>
      </c>
      <c r="D57" s="9" t="s">
        <v>31</v>
      </c>
      <c r="E57" s="10" t="s">
        <v>189</v>
      </c>
      <c r="F57" s="11" t="s">
        <v>190</v>
      </c>
    </row>
    <row r="58">
      <c r="A58" s="7" t="s">
        <v>154</v>
      </c>
      <c r="B58" s="8" t="s">
        <v>191</v>
      </c>
      <c r="C58" s="9" t="s">
        <v>35</v>
      </c>
      <c r="D58" s="9" t="s">
        <v>31</v>
      </c>
      <c r="E58" s="10" t="s">
        <v>192</v>
      </c>
      <c r="F58" s="11" t="s">
        <v>193</v>
      </c>
    </row>
    <row r="59">
      <c r="A59" s="7" t="s">
        <v>154</v>
      </c>
      <c r="B59" s="8" t="s">
        <v>194</v>
      </c>
      <c r="C59" s="9" t="s">
        <v>60</v>
      </c>
      <c r="D59" s="9" t="s">
        <v>31</v>
      </c>
      <c r="E59" s="10" t="s">
        <v>195</v>
      </c>
      <c r="F59" s="11" t="s">
        <v>196</v>
      </c>
    </row>
    <row r="60">
      <c r="A60" s="7" t="s">
        <v>197</v>
      </c>
      <c r="B60" s="8" t="s">
        <v>198</v>
      </c>
      <c r="C60" s="9" t="s">
        <v>10</v>
      </c>
      <c r="D60" s="9" t="s">
        <v>11</v>
      </c>
      <c r="E60" s="10" t="s">
        <v>199</v>
      </c>
      <c r="F60" s="11" t="s">
        <v>200</v>
      </c>
    </row>
    <row r="61">
      <c r="A61" s="7" t="s">
        <v>197</v>
      </c>
      <c r="B61" s="8" t="s">
        <v>201</v>
      </c>
      <c r="C61" s="9" t="s">
        <v>68</v>
      </c>
      <c r="D61" s="9" t="s">
        <v>16</v>
      </c>
      <c r="E61" s="10" t="s">
        <v>202</v>
      </c>
      <c r="F61" s="11" t="s">
        <v>203</v>
      </c>
    </row>
    <row r="62">
      <c r="A62" s="7" t="s">
        <v>197</v>
      </c>
      <c r="B62" s="8" t="s">
        <v>204</v>
      </c>
      <c r="C62" s="9" t="s">
        <v>72</v>
      </c>
      <c r="D62" s="9" t="s">
        <v>21</v>
      </c>
      <c r="E62" s="10" t="s">
        <v>205</v>
      </c>
      <c r="F62" s="11" t="s">
        <v>206</v>
      </c>
    </row>
    <row r="63">
      <c r="A63" s="7" t="s">
        <v>197</v>
      </c>
      <c r="B63" s="8" t="s">
        <v>207</v>
      </c>
      <c r="C63" s="9" t="s">
        <v>121</v>
      </c>
      <c r="D63" s="9" t="s">
        <v>26</v>
      </c>
      <c r="E63" s="10" t="s">
        <v>208</v>
      </c>
      <c r="F63" s="11" t="s">
        <v>209</v>
      </c>
    </row>
    <row r="64">
      <c r="A64" s="7" t="s">
        <v>197</v>
      </c>
      <c r="B64" s="8" t="s">
        <v>210</v>
      </c>
      <c r="C64" s="9" t="s">
        <v>80</v>
      </c>
      <c r="D64" s="9" t="s">
        <v>31</v>
      </c>
      <c r="E64" s="10" t="s">
        <v>211</v>
      </c>
      <c r="F64" s="11" t="s">
        <v>212</v>
      </c>
    </row>
    <row r="65">
      <c r="A65" s="7" t="s">
        <v>197</v>
      </c>
      <c r="B65" s="8" t="s">
        <v>213</v>
      </c>
      <c r="C65" s="9" t="s">
        <v>35</v>
      </c>
      <c r="D65" s="9" t="s">
        <v>31</v>
      </c>
      <c r="E65" s="10" t="s">
        <v>214</v>
      </c>
      <c r="F65" s="11" t="s">
        <v>215</v>
      </c>
    </row>
    <row r="66">
      <c r="A66" s="7" t="s">
        <v>197</v>
      </c>
      <c r="B66" s="8" t="s">
        <v>216</v>
      </c>
      <c r="C66" s="9" t="s">
        <v>35</v>
      </c>
      <c r="D66" s="9" t="s">
        <v>31</v>
      </c>
      <c r="E66" s="10" t="s">
        <v>217</v>
      </c>
      <c r="F66" s="11" t="s">
        <v>218</v>
      </c>
    </row>
    <row r="67">
      <c r="A67" s="7" t="s">
        <v>197</v>
      </c>
      <c r="B67" s="8" t="s">
        <v>219</v>
      </c>
      <c r="C67" s="9" t="s">
        <v>35</v>
      </c>
      <c r="D67" s="9" t="s">
        <v>31</v>
      </c>
      <c r="E67" s="10" t="s">
        <v>220</v>
      </c>
      <c r="F67" s="11" t="s">
        <v>221</v>
      </c>
    </row>
    <row r="68">
      <c r="A68" s="7" t="s">
        <v>197</v>
      </c>
      <c r="B68" s="8" t="s">
        <v>222</v>
      </c>
      <c r="C68" s="9" t="s">
        <v>35</v>
      </c>
      <c r="D68" s="9" t="s">
        <v>31</v>
      </c>
      <c r="E68" s="10" t="s">
        <v>223</v>
      </c>
      <c r="F68" s="11" t="s">
        <v>224</v>
      </c>
    </row>
    <row r="69">
      <c r="A69" s="7" t="s">
        <v>197</v>
      </c>
      <c r="B69" s="8" t="s">
        <v>225</v>
      </c>
      <c r="C69" s="9" t="s">
        <v>35</v>
      </c>
      <c r="D69" s="9" t="s">
        <v>31</v>
      </c>
      <c r="E69" s="10" t="s">
        <v>226</v>
      </c>
      <c r="F69" s="11" t="s">
        <v>227</v>
      </c>
    </row>
    <row r="70">
      <c r="A70" s="7" t="s">
        <v>197</v>
      </c>
      <c r="B70" s="8" t="s">
        <v>228</v>
      </c>
      <c r="C70" s="9" t="s">
        <v>35</v>
      </c>
      <c r="D70" s="9" t="s">
        <v>31</v>
      </c>
      <c r="E70" s="10" t="s">
        <v>229</v>
      </c>
      <c r="F70" s="11" t="s">
        <v>230</v>
      </c>
    </row>
    <row r="71">
      <c r="A71" s="7" t="s">
        <v>197</v>
      </c>
      <c r="B71" s="8" t="s">
        <v>231</v>
      </c>
      <c r="C71" s="9" t="s">
        <v>35</v>
      </c>
      <c r="D71" s="9" t="s">
        <v>31</v>
      </c>
      <c r="E71" s="10" t="s">
        <v>232</v>
      </c>
      <c r="F71" s="11" t="s">
        <v>233</v>
      </c>
    </row>
    <row r="72">
      <c r="A72" s="7" t="s">
        <v>197</v>
      </c>
      <c r="B72" s="8" t="s">
        <v>234</v>
      </c>
      <c r="C72" s="9" t="s">
        <v>35</v>
      </c>
      <c r="D72" s="9" t="s">
        <v>31</v>
      </c>
      <c r="E72" s="10" t="s">
        <v>235</v>
      </c>
      <c r="F72" s="11" t="s">
        <v>236</v>
      </c>
    </row>
    <row r="73">
      <c r="A73" s="7" t="s">
        <v>197</v>
      </c>
      <c r="B73" s="8" t="s">
        <v>237</v>
      </c>
      <c r="C73" s="9" t="s">
        <v>60</v>
      </c>
      <c r="D73" s="9" t="s">
        <v>31</v>
      </c>
      <c r="E73" s="10" t="s">
        <v>238</v>
      </c>
      <c r="F73" s="11" t="s">
        <v>239</v>
      </c>
    </row>
    <row r="74">
      <c r="A74" s="7" t="s">
        <v>240</v>
      </c>
      <c r="B74" s="8" t="s">
        <v>241</v>
      </c>
      <c r="C74" s="9" t="s">
        <v>10</v>
      </c>
      <c r="D74" s="9" t="s">
        <v>11</v>
      </c>
      <c r="E74" s="10" t="s">
        <v>242</v>
      </c>
      <c r="F74" s="11" t="s">
        <v>243</v>
      </c>
    </row>
    <row r="75">
      <c r="A75" s="7" t="s">
        <v>240</v>
      </c>
      <c r="B75" s="8" t="s">
        <v>244</v>
      </c>
      <c r="C75" s="9" t="s">
        <v>68</v>
      </c>
      <c r="D75" s="9" t="s">
        <v>16</v>
      </c>
      <c r="E75" s="10" t="s">
        <v>245</v>
      </c>
      <c r="F75" s="11" t="s">
        <v>246</v>
      </c>
    </row>
    <row r="76">
      <c r="A76" s="7" t="s">
        <v>240</v>
      </c>
      <c r="B76" s="8" t="s">
        <v>247</v>
      </c>
      <c r="C76" s="9" t="s">
        <v>72</v>
      </c>
      <c r="D76" s="9" t="s">
        <v>21</v>
      </c>
      <c r="E76" s="10" t="s">
        <v>248</v>
      </c>
      <c r="F76" s="11" t="s">
        <v>249</v>
      </c>
    </row>
    <row r="77">
      <c r="A77" s="7" t="s">
        <v>240</v>
      </c>
      <c r="B77" s="8" t="s">
        <v>250</v>
      </c>
      <c r="C77" s="9" t="s">
        <v>121</v>
      </c>
      <c r="D77" s="9" t="s">
        <v>26</v>
      </c>
      <c r="E77" s="10" t="s">
        <v>251</v>
      </c>
      <c r="F77" s="11" t="s">
        <v>252</v>
      </c>
    </row>
    <row r="78">
      <c r="A78" s="7" t="s">
        <v>240</v>
      </c>
      <c r="B78" s="8" t="s">
        <v>253</v>
      </c>
      <c r="C78" s="9" t="s">
        <v>80</v>
      </c>
      <c r="D78" s="9" t="s">
        <v>31</v>
      </c>
      <c r="E78" s="10" t="s">
        <v>254</v>
      </c>
      <c r="F78" s="11" t="s">
        <v>255</v>
      </c>
    </row>
    <row r="79">
      <c r="A79" s="7" t="s">
        <v>240</v>
      </c>
      <c r="B79" s="8" t="s">
        <v>256</v>
      </c>
      <c r="C79" s="9" t="s">
        <v>35</v>
      </c>
      <c r="D79" s="9" t="s">
        <v>31</v>
      </c>
      <c r="E79" s="10" t="s">
        <v>257</v>
      </c>
      <c r="F79" s="11" t="s">
        <v>258</v>
      </c>
    </row>
    <row r="80">
      <c r="A80" s="7" t="s">
        <v>240</v>
      </c>
      <c r="B80" s="8" t="s">
        <v>259</v>
      </c>
      <c r="C80" s="9" t="s">
        <v>35</v>
      </c>
      <c r="D80" s="9" t="s">
        <v>31</v>
      </c>
      <c r="E80" s="10" t="s">
        <v>260</v>
      </c>
      <c r="F80" s="11" t="s">
        <v>261</v>
      </c>
    </row>
    <row r="81">
      <c r="A81" s="7" t="s">
        <v>240</v>
      </c>
      <c r="B81" s="8" t="s">
        <v>262</v>
      </c>
      <c r="C81" s="9" t="s">
        <v>35</v>
      </c>
      <c r="D81" s="9" t="s">
        <v>31</v>
      </c>
      <c r="E81" s="10" t="s">
        <v>263</v>
      </c>
      <c r="F81" s="11" t="s">
        <v>264</v>
      </c>
    </row>
    <row r="82">
      <c r="A82" s="7" t="s">
        <v>240</v>
      </c>
      <c r="B82" s="8" t="s">
        <v>265</v>
      </c>
      <c r="C82" s="9" t="s">
        <v>35</v>
      </c>
      <c r="D82" s="9" t="s">
        <v>31</v>
      </c>
      <c r="E82" s="10" t="s">
        <v>266</v>
      </c>
      <c r="F82" s="11" t="s">
        <v>267</v>
      </c>
    </row>
    <row r="83">
      <c r="A83" s="7" t="s">
        <v>240</v>
      </c>
      <c r="B83" s="8" t="s">
        <v>268</v>
      </c>
      <c r="C83" s="9" t="s">
        <v>35</v>
      </c>
      <c r="D83" s="9" t="s">
        <v>31</v>
      </c>
      <c r="E83" s="10" t="s">
        <v>269</v>
      </c>
      <c r="F83" s="11" t="s">
        <v>270</v>
      </c>
    </row>
    <row r="84">
      <c r="A84" s="7" t="s">
        <v>240</v>
      </c>
      <c r="B84" s="8" t="s">
        <v>272</v>
      </c>
      <c r="C84" s="9" t="s">
        <v>35</v>
      </c>
      <c r="D84" s="9" t="s">
        <v>31</v>
      </c>
      <c r="E84" s="10" t="s">
        <v>273</v>
      </c>
      <c r="F84" s="11" t="s">
        <v>274</v>
      </c>
    </row>
    <row r="85">
      <c r="A85" s="7" t="s">
        <v>240</v>
      </c>
      <c r="B85" s="8" t="s">
        <v>275</v>
      </c>
      <c r="C85" s="9" t="s">
        <v>35</v>
      </c>
      <c r="D85" s="9" t="s">
        <v>31</v>
      </c>
      <c r="E85" s="10" t="s">
        <v>276</v>
      </c>
      <c r="F85" s="11" t="s">
        <v>277</v>
      </c>
    </row>
    <row r="86">
      <c r="A86" s="7" t="s">
        <v>240</v>
      </c>
      <c r="B86" s="8" t="s">
        <v>278</v>
      </c>
      <c r="C86" s="9" t="s">
        <v>35</v>
      </c>
      <c r="D86" s="9" t="s">
        <v>31</v>
      </c>
      <c r="E86" s="10" t="s">
        <v>279</v>
      </c>
      <c r="F86" s="11" t="s">
        <v>280</v>
      </c>
    </row>
    <row r="87">
      <c r="A87" s="7" t="s">
        <v>240</v>
      </c>
      <c r="B87" s="8" t="s">
        <v>282</v>
      </c>
      <c r="C87" s="9" t="s">
        <v>60</v>
      </c>
      <c r="D87" s="9" t="s">
        <v>31</v>
      </c>
      <c r="E87" s="10" t="s">
        <v>283</v>
      </c>
      <c r="F87" s="11" t="s">
        <v>284</v>
      </c>
    </row>
    <row r="88">
      <c r="A88" s="7" t="s">
        <v>285</v>
      </c>
      <c r="B88" s="8" t="s">
        <v>286</v>
      </c>
      <c r="C88" s="9" t="s">
        <v>287</v>
      </c>
      <c r="D88" s="9" t="s">
        <v>11</v>
      </c>
      <c r="E88" s="10" t="s">
        <v>288</v>
      </c>
      <c r="F88" s="11" t="s">
        <v>289</v>
      </c>
    </row>
    <row r="89">
      <c r="A89" s="7" t="s">
        <v>285</v>
      </c>
      <c r="B89" s="8" t="s">
        <v>290</v>
      </c>
      <c r="C89" s="9" t="s">
        <v>291</v>
      </c>
      <c r="D89" s="9" t="s">
        <v>16</v>
      </c>
      <c r="E89" s="10" t="s">
        <v>292</v>
      </c>
      <c r="F89" s="11" t="s">
        <v>293</v>
      </c>
    </row>
    <row r="90">
      <c r="A90" s="7" t="s">
        <v>285</v>
      </c>
      <c r="B90" s="8" t="s">
        <v>295</v>
      </c>
      <c r="C90" s="9" t="s">
        <v>72</v>
      </c>
      <c r="D90" s="9" t="s">
        <v>21</v>
      </c>
      <c r="E90" s="10" t="s">
        <v>297</v>
      </c>
      <c r="F90" s="11" t="s">
        <v>298</v>
      </c>
    </row>
    <row r="91">
      <c r="A91" s="7" t="s">
        <v>285</v>
      </c>
      <c r="B91" s="8" t="s">
        <v>299</v>
      </c>
      <c r="C91" s="9" t="s">
        <v>121</v>
      </c>
      <c r="D91" s="9" t="s">
        <v>26</v>
      </c>
      <c r="E91" s="10" t="s">
        <v>301</v>
      </c>
      <c r="F91" s="11" t="s">
        <v>302</v>
      </c>
    </row>
    <row r="92">
      <c r="A92" s="7" t="s">
        <v>285</v>
      </c>
      <c r="B92" s="8" t="s">
        <v>303</v>
      </c>
      <c r="C92" s="9" t="s">
        <v>80</v>
      </c>
      <c r="D92" s="9" t="s">
        <v>31</v>
      </c>
      <c r="E92" s="10" t="s">
        <v>304</v>
      </c>
      <c r="F92" s="11" t="s">
        <v>305</v>
      </c>
    </row>
    <row r="93">
      <c r="A93" s="7" t="s">
        <v>285</v>
      </c>
      <c r="B93" s="8" t="s">
        <v>306</v>
      </c>
      <c r="C93" s="9" t="s">
        <v>35</v>
      </c>
      <c r="D93" s="9" t="s">
        <v>31</v>
      </c>
      <c r="E93" s="10" t="s">
        <v>307</v>
      </c>
      <c r="F93" s="11" t="s">
        <v>308</v>
      </c>
    </row>
    <row r="94">
      <c r="A94" s="7" t="s">
        <v>285</v>
      </c>
      <c r="B94" s="8" t="s">
        <v>309</v>
      </c>
      <c r="C94" s="9" t="s">
        <v>35</v>
      </c>
      <c r="D94" s="9" t="s">
        <v>31</v>
      </c>
      <c r="E94" s="10" t="s">
        <v>310</v>
      </c>
      <c r="F94" s="11" t="s">
        <v>311</v>
      </c>
    </row>
    <row r="95">
      <c r="A95" s="7" t="s">
        <v>285</v>
      </c>
      <c r="B95" s="8" t="s">
        <v>312</v>
      </c>
      <c r="C95" s="9" t="s">
        <v>35</v>
      </c>
      <c r="D95" s="9" t="s">
        <v>31</v>
      </c>
      <c r="E95" s="10" t="s">
        <v>313</v>
      </c>
      <c r="F95" s="11" t="s">
        <v>314</v>
      </c>
    </row>
    <row r="96">
      <c r="A96" s="7" t="s">
        <v>285</v>
      </c>
      <c r="B96" s="8" t="s">
        <v>315</v>
      </c>
      <c r="C96" s="9" t="s">
        <v>35</v>
      </c>
      <c r="D96" s="9" t="s">
        <v>31</v>
      </c>
      <c r="E96" s="10" t="s">
        <v>316</v>
      </c>
      <c r="F96" s="11" t="s">
        <v>317</v>
      </c>
    </row>
    <row r="97">
      <c r="A97" s="7" t="s">
        <v>285</v>
      </c>
      <c r="B97" s="8" t="s">
        <v>318</v>
      </c>
      <c r="C97" s="9" t="s">
        <v>35</v>
      </c>
      <c r="D97" s="9" t="s">
        <v>31</v>
      </c>
      <c r="E97" s="10" t="s">
        <v>319</v>
      </c>
      <c r="F97" s="11" t="s">
        <v>320</v>
      </c>
    </row>
    <row r="98">
      <c r="A98" s="7" t="s">
        <v>285</v>
      </c>
      <c r="B98" s="8" t="s">
        <v>321</v>
      </c>
      <c r="C98" s="9" t="s">
        <v>35</v>
      </c>
      <c r="D98" s="9" t="s">
        <v>31</v>
      </c>
      <c r="E98" s="10" t="s">
        <v>322</v>
      </c>
      <c r="F98" s="11" t="s">
        <v>323</v>
      </c>
    </row>
    <row r="99">
      <c r="A99" s="7" t="s">
        <v>285</v>
      </c>
      <c r="B99" s="8" t="s">
        <v>324</v>
      </c>
      <c r="C99" s="9" t="s">
        <v>35</v>
      </c>
      <c r="D99" s="9" t="s">
        <v>31</v>
      </c>
      <c r="E99" s="10" t="s">
        <v>325</v>
      </c>
      <c r="F99" s="11" t="s">
        <v>326</v>
      </c>
    </row>
    <row r="100">
      <c r="A100" s="7" t="s">
        <v>285</v>
      </c>
      <c r="B100" s="8" t="s">
        <v>327</v>
      </c>
      <c r="C100" s="9" t="s">
        <v>35</v>
      </c>
      <c r="D100" s="9" t="s">
        <v>31</v>
      </c>
      <c r="E100" s="10" t="s">
        <v>328</v>
      </c>
      <c r="F100" s="11" t="s">
        <v>329</v>
      </c>
    </row>
    <row r="101">
      <c r="A101" s="7" t="s">
        <v>285</v>
      </c>
      <c r="B101" s="8" t="s">
        <v>330</v>
      </c>
      <c r="C101" s="9" t="s">
        <v>60</v>
      </c>
      <c r="D101" s="9" t="s">
        <v>31</v>
      </c>
      <c r="E101" s="10" t="s">
        <v>331</v>
      </c>
      <c r="F101" s="11" t="s">
        <v>332</v>
      </c>
    </row>
    <row r="102">
      <c r="A102" s="7" t="s">
        <v>333</v>
      </c>
      <c r="B102" s="8" t="s">
        <v>334</v>
      </c>
      <c r="C102" s="9" t="s">
        <v>10</v>
      </c>
      <c r="D102" s="9" t="s">
        <v>11</v>
      </c>
      <c r="E102" s="10" t="s">
        <v>335</v>
      </c>
      <c r="F102" s="11" t="s">
        <v>336</v>
      </c>
    </row>
    <row r="103">
      <c r="A103" s="7" t="s">
        <v>333</v>
      </c>
      <c r="B103" s="8" t="s">
        <v>337</v>
      </c>
      <c r="C103" s="9" t="s">
        <v>68</v>
      </c>
      <c r="D103" s="9" t="s">
        <v>16</v>
      </c>
      <c r="E103" s="10" t="s">
        <v>339</v>
      </c>
      <c r="F103" s="11" t="s">
        <v>340</v>
      </c>
    </row>
    <row r="104">
      <c r="A104" s="7" t="s">
        <v>333</v>
      </c>
      <c r="B104" s="8" t="s">
        <v>341</v>
      </c>
      <c r="C104" s="9" t="s">
        <v>72</v>
      </c>
      <c r="D104" s="9" t="s">
        <v>21</v>
      </c>
      <c r="E104" s="10" t="s">
        <v>342</v>
      </c>
      <c r="F104" s="11" t="s">
        <v>343</v>
      </c>
    </row>
    <row r="105">
      <c r="A105" s="7" t="s">
        <v>333</v>
      </c>
      <c r="B105" s="8" t="s">
        <v>344</v>
      </c>
      <c r="C105" s="9" t="s">
        <v>345</v>
      </c>
      <c r="D105" s="9" t="s">
        <v>26</v>
      </c>
      <c r="E105" s="10" t="s">
        <v>346</v>
      </c>
      <c r="F105" s="11" t="s">
        <v>347</v>
      </c>
    </row>
    <row r="106">
      <c r="A106" s="7" t="s">
        <v>333</v>
      </c>
      <c r="B106" s="8" t="s">
        <v>349</v>
      </c>
      <c r="C106" s="9" t="s">
        <v>80</v>
      </c>
      <c r="D106" s="9" t="s">
        <v>31</v>
      </c>
      <c r="E106" s="10" t="s">
        <v>351</v>
      </c>
      <c r="F106" s="11" t="s">
        <v>352</v>
      </c>
    </row>
    <row r="107">
      <c r="A107" s="7" t="s">
        <v>333</v>
      </c>
      <c r="B107" s="8" t="s">
        <v>353</v>
      </c>
      <c r="C107" s="9" t="s">
        <v>35</v>
      </c>
      <c r="D107" s="9" t="s">
        <v>31</v>
      </c>
      <c r="E107" s="10" t="s">
        <v>355</v>
      </c>
      <c r="F107" s="11" t="s">
        <v>356</v>
      </c>
    </row>
    <row r="108">
      <c r="A108" s="7" t="s">
        <v>333</v>
      </c>
      <c r="B108" s="8" t="s">
        <v>357</v>
      </c>
      <c r="C108" s="9" t="s">
        <v>35</v>
      </c>
      <c r="D108" s="9" t="s">
        <v>31</v>
      </c>
      <c r="E108" s="10" t="s">
        <v>358</v>
      </c>
      <c r="F108" s="11" t="s">
        <v>359</v>
      </c>
    </row>
    <row r="109">
      <c r="A109" s="7" t="s">
        <v>333</v>
      </c>
      <c r="B109" s="8" t="s">
        <v>360</v>
      </c>
      <c r="C109" s="9" t="s">
        <v>35</v>
      </c>
      <c r="D109" s="9" t="s">
        <v>31</v>
      </c>
      <c r="E109" s="10" t="s">
        <v>361</v>
      </c>
      <c r="F109" s="11" t="s">
        <v>362</v>
      </c>
    </row>
    <row r="110">
      <c r="A110" s="7" t="s">
        <v>333</v>
      </c>
      <c r="B110" s="8" t="s">
        <v>364</v>
      </c>
      <c r="C110" s="9" t="s">
        <v>35</v>
      </c>
      <c r="D110" s="9" t="s">
        <v>31</v>
      </c>
      <c r="E110" s="10" t="s">
        <v>365</v>
      </c>
      <c r="F110" s="11" t="s">
        <v>367</v>
      </c>
    </row>
    <row r="111">
      <c r="A111" s="7" t="s">
        <v>333</v>
      </c>
      <c r="B111" s="8" t="s">
        <v>368</v>
      </c>
      <c r="C111" s="9" t="s">
        <v>35</v>
      </c>
      <c r="D111" s="9" t="s">
        <v>31</v>
      </c>
      <c r="E111" s="10" t="s">
        <v>371</v>
      </c>
      <c r="F111" s="11" t="s">
        <v>372</v>
      </c>
    </row>
    <row r="112">
      <c r="A112" s="7" t="s">
        <v>333</v>
      </c>
      <c r="B112" s="8" t="s">
        <v>374</v>
      </c>
      <c r="C112" s="9" t="s">
        <v>35</v>
      </c>
      <c r="D112" s="9" t="s">
        <v>31</v>
      </c>
      <c r="E112" s="10" t="s">
        <v>375</v>
      </c>
      <c r="F112" s="11" t="s">
        <v>376</v>
      </c>
    </row>
    <row r="113">
      <c r="A113" s="7" t="s">
        <v>333</v>
      </c>
      <c r="B113" s="8" t="s">
        <v>377</v>
      </c>
      <c r="C113" s="9" t="s">
        <v>35</v>
      </c>
      <c r="D113" s="9" t="s">
        <v>31</v>
      </c>
      <c r="E113" s="10" t="s">
        <v>379</v>
      </c>
      <c r="F113" s="11" t="s">
        <v>380</v>
      </c>
    </row>
    <row r="114">
      <c r="A114" s="7" t="s">
        <v>333</v>
      </c>
      <c r="B114" s="8" t="s">
        <v>382</v>
      </c>
      <c r="C114" s="9" t="s">
        <v>35</v>
      </c>
      <c r="D114" s="9" t="s">
        <v>31</v>
      </c>
      <c r="E114" s="10" t="s">
        <v>383</v>
      </c>
      <c r="F114" s="11" t="s">
        <v>384</v>
      </c>
    </row>
    <row r="115">
      <c r="A115" s="7" t="s">
        <v>333</v>
      </c>
      <c r="B115" s="8" t="s">
        <v>385</v>
      </c>
      <c r="C115" s="9" t="s">
        <v>60</v>
      </c>
      <c r="D115" s="9" t="s">
        <v>31</v>
      </c>
      <c r="E115" s="10" t="s">
        <v>386</v>
      </c>
      <c r="F115" s="11" t="s">
        <v>387</v>
      </c>
    </row>
    <row r="116">
      <c r="A116" s="7" t="s">
        <v>388</v>
      </c>
      <c r="B116" s="8" t="s">
        <v>389</v>
      </c>
      <c r="C116" s="9" t="s">
        <v>390</v>
      </c>
      <c r="D116" s="9" t="s">
        <v>11</v>
      </c>
      <c r="E116" s="10" t="s">
        <v>391</v>
      </c>
      <c r="F116" s="11" t="s">
        <v>392</v>
      </c>
    </row>
    <row r="117">
      <c r="A117" s="7" t="s">
        <v>388</v>
      </c>
      <c r="B117" s="8" t="s">
        <v>393</v>
      </c>
      <c r="C117" s="9" t="s">
        <v>394</v>
      </c>
      <c r="D117" s="9" t="s">
        <v>16</v>
      </c>
      <c r="E117" s="10" t="s">
        <v>395</v>
      </c>
      <c r="F117" s="11" t="s">
        <v>396</v>
      </c>
    </row>
    <row r="118">
      <c r="A118" s="7" t="s">
        <v>388</v>
      </c>
      <c r="B118" s="8" t="s">
        <v>397</v>
      </c>
      <c r="C118" s="9" t="s">
        <v>398</v>
      </c>
      <c r="D118" s="9" t="s">
        <v>21</v>
      </c>
      <c r="E118" s="10" t="s">
        <v>399</v>
      </c>
      <c r="F118" s="11" t="s">
        <v>400</v>
      </c>
    </row>
    <row r="119">
      <c r="A119" s="7" t="s">
        <v>388</v>
      </c>
      <c r="B119" s="8" t="s">
        <v>401</v>
      </c>
      <c r="C119" s="9" t="s">
        <v>402</v>
      </c>
      <c r="D119" s="9" t="s">
        <v>26</v>
      </c>
      <c r="E119" s="10" t="s">
        <v>403</v>
      </c>
      <c r="F119" s="11" t="s">
        <v>404</v>
      </c>
    </row>
    <row r="120">
      <c r="A120" s="7" t="s">
        <v>388</v>
      </c>
      <c r="B120" s="8" t="s">
        <v>405</v>
      </c>
      <c r="C120" s="9" t="s">
        <v>406</v>
      </c>
      <c r="D120" s="9" t="s">
        <v>31</v>
      </c>
      <c r="E120" s="10" t="s">
        <v>407</v>
      </c>
      <c r="F120" s="11" t="s">
        <v>408</v>
      </c>
    </row>
    <row r="121">
      <c r="A121" s="7" t="s">
        <v>388</v>
      </c>
      <c r="B121" s="8" t="s">
        <v>409</v>
      </c>
      <c r="C121" s="9" t="s">
        <v>406</v>
      </c>
      <c r="D121" s="9" t="s">
        <v>31</v>
      </c>
      <c r="E121" s="10" t="s">
        <v>410</v>
      </c>
      <c r="F121" s="11" t="s">
        <v>411</v>
      </c>
    </row>
    <row r="122">
      <c r="A122" s="7" t="s">
        <v>412</v>
      </c>
      <c r="B122" s="8" t="s">
        <v>413</v>
      </c>
      <c r="C122" s="9" t="s">
        <v>414</v>
      </c>
      <c r="D122" s="9" t="s">
        <v>11</v>
      </c>
      <c r="E122" s="10" t="s">
        <v>415</v>
      </c>
      <c r="F122" s="11" t="s">
        <v>416</v>
      </c>
    </row>
    <row r="123">
      <c r="A123" s="7" t="s">
        <v>412</v>
      </c>
      <c r="B123" s="8" t="s">
        <v>225</v>
      </c>
      <c r="C123" s="9" t="s">
        <v>417</v>
      </c>
      <c r="D123" s="9" t="s">
        <v>16</v>
      </c>
      <c r="E123" s="10" t="s">
        <v>418</v>
      </c>
      <c r="F123" s="11" t="s">
        <v>419</v>
      </c>
    </row>
    <row r="124">
      <c r="A124" s="7" t="s">
        <v>412</v>
      </c>
      <c r="B124" s="8" t="s">
        <v>420</v>
      </c>
      <c r="C124" s="9" t="s">
        <v>421</v>
      </c>
      <c r="D124" s="9" t="s">
        <v>21</v>
      </c>
      <c r="E124" s="10" t="s">
        <v>422</v>
      </c>
      <c r="F124" s="11" t="s">
        <v>423</v>
      </c>
    </row>
    <row r="125">
      <c r="A125" s="7" t="s">
        <v>412</v>
      </c>
      <c r="B125" s="8" t="s">
        <v>424</v>
      </c>
      <c r="C125" s="9" t="s">
        <v>425</v>
      </c>
      <c r="D125" s="9" t="s">
        <v>26</v>
      </c>
      <c r="E125" s="10" t="s">
        <v>426</v>
      </c>
      <c r="F125" s="11" t="s">
        <v>427</v>
      </c>
    </row>
    <row r="126">
      <c r="A126" s="7" t="s">
        <v>412</v>
      </c>
      <c r="B126" s="8" t="s">
        <v>428</v>
      </c>
      <c r="C126" s="9" t="s">
        <v>429</v>
      </c>
      <c r="D126" s="9" t="s">
        <v>31</v>
      </c>
      <c r="E126" s="10" t="s">
        <v>430</v>
      </c>
      <c r="F126" s="11" t="s">
        <v>432</v>
      </c>
    </row>
    <row r="127">
      <c r="A127" s="7" t="s">
        <v>412</v>
      </c>
      <c r="B127" s="8" t="s">
        <v>364</v>
      </c>
      <c r="C127" s="9" t="s">
        <v>429</v>
      </c>
      <c r="D127" s="9" t="s">
        <v>31</v>
      </c>
      <c r="E127" s="10" t="s">
        <v>434</v>
      </c>
      <c r="F127" s="11" t="s">
        <v>435</v>
      </c>
    </row>
    <row r="128">
      <c r="A128" s="7" t="s">
        <v>436</v>
      </c>
      <c r="B128" s="8" t="s">
        <v>438</v>
      </c>
      <c r="C128" s="9" t="s">
        <v>439</v>
      </c>
      <c r="D128" s="9" t="s">
        <v>11</v>
      </c>
      <c r="E128" s="10" t="s">
        <v>440</v>
      </c>
      <c r="F128" s="11" t="s">
        <v>442</v>
      </c>
    </row>
    <row r="129">
      <c r="A129" s="7" t="s">
        <v>436</v>
      </c>
      <c r="B129" s="8" t="s">
        <v>443</v>
      </c>
      <c r="C129" s="9" t="s">
        <v>444</v>
      </c>
      <c r="D129" s="9" t="s">
        <v>16</v>
      </c>
      <c r="E129" s="10" t="s">
        <v>445</v>
      </c>
      <c r="F129" s="11" t="s">
        <v>446</v>
      </c>
    </row>
    <row r="130">
      <c r="A130" s="7" t="s">
        <v>436</v>
      </c>
      <c r="B130" s="8" t="s">
        <v>447</v>
      </c>
      <c r="C130" s="9" t="s">
        <v>448</v>
      </c>
      <c r="D130" s="9" t="s">
        <v>21</v>
      </c>
      <c r="E130" s="10" t="s">
        <v>449</v>
      </c>
      <c r="F130" s="11" t="s">
        <v>450</v>
      </c>
    </row>
    <row r="131">
      <c r="A131" s="7" t="s">
        <v>436</v>
      </c>
      <c r="B131" s="8" t="s">
        <v>451</v>
      </c>
      <c r="C131" s="9" t="s">
        <v>452</v>
      </c>
      <c r="D131" s="9" t="s">
        <v>26</v>
      </c>
      <c r="E131" s="10" t="s">
        <v>453</v>
      </c>
      <c r="F131" s="11" t="s">
        <v>454</v>
      </c>
    </row>
    <row r="132">
      <c r="A132" s="7" t="s">
        <v>436</v>
      </c>
      <c r="B132" s="8" t="s">
        <v>455</v>
      </c>
      <c r="C132" s="9" t="s">
        <v>456</v>
      </c>
      <c r="D132" s="9" t="s">
        <v>31</v>
      </c>
      <c r="E132" s="10" t="s">
        <v>457</v>
      </c>
      <c r="F132" s="11" t="s">
        <v>458</v>
      </c>
    </row>
    <row r="133">
      <c r="A133" s="7" t="s">
        <v>436</v>
      </c>
      <c r="B133" s="8" t="s">
        <v>460</v>
      </c>
      <c r="C133" s="9" t="s">
        <v>461</v>
      </c>
      <c r="D133" s="9" t="s">
        <v>31</v>
      </c>
      <c r="E133" s="10" t="s">
        <v>462</v>
      </c>
      <c r="F133" s="11" t="s">
        <v>463</v>
      </c>
    </row>
    <row r="134">
      <c r="A134" s="7" t="s">
        <v>465</v>
      </c>
      <c r="B134" s="8" t="s">
        <v>466</v>
      </c>
      <c r="C134" s="9" t="s">
        <v>467</v>
      </c>
      <c r="D134" s="9" t="s">
        <v>11</v>
      </c>
      <c r="E134" s="10" t="s">
        <v>469</v>
      </c>
      <c r="F134" s="11" t="s">
        <v>471</v>
      </c>
    </row>
    <row r="135">
      <c r="A135" s="7" t="s">
        <v>465</v>
      </c>
      <c r="B135" s="8" t="s">
        <v>472</v>
      </c>
      <c r="C135" s="9" t="s">
        <v>473</v>
      </c>
      <c r="D135" s="9" t="s">
        <v>16</v>
      </c>
      <c r="E135" s="10" t="s">
        <v>474</v>
      </c>
      <c r="F135" s="11" t="s">
        <v>475</v>
      </c>
    </row>
    <row r="136">
      <c r="A136" s="7" t="s">
        <v>465</v>
      </c>
      <c r="B136" s="8" t="s">
        <v>476</v>
      </c>
      <c r="C136" s="9" t="s">
        <v>477</v>
      </c>
      <c r="D136" s="9" t="s">
        <v>21</v>
      </c>
      <c r="E136" s="10" t="s">
        <v>478</v>
      </c>
      <c r="F136" s="11" t="s">
        <v>479</v>
      </c>
    </row>
    <row r="137">
      <c r="A137" s="7" t="s">
        <v>465</v>
      </c>
      <c r="B137" s="8" t="s">
        <v>481</v>
      </c>
      <c r="C137" s="9" t="s">
        <v>483</v>
      </c>
      <c r="D137" s="9" t="s">
        <v>26</v>
      </c>
      <c r="E137" s="10" t="s">
        <v>485</v>
      </c>
      <c r="F137" s="11" t="s">
        <v>487</v>
      </c>
    </row>
    <row r="138">
      <c r="A138" s="7" t="s">
        <v>465</v>
      </c>
      <c r="B138" s="8" t="s">
        <v>488</v>
      </c>
      <c r="C138" s="9" t="s">
        <v>489</v>
      </c>
      <c r="D138" s="9" t="s">
        <v>31</v>
      </c>
      <c r="E138" s="10" t="s">
        <v>490</v>
      </c>
      <c r="F138" s="11" t="s">
        <v>491</v>
      </c>
    </row>
    <row r="139">
      <c r="A139" s="7" t="s">
        <v>465</v>
      </c>
      <c r="B139" s="8" t="s">
        <v>492</v>
      </c>
      <c r="C139" s="9" t="s">
        <v>489</v>
      </c>
      <c r="D139" s="9" t="s">
        <v>31</v>
      </c>
      <c r="E139" s="10" t="s">
        <v>493</v>
      </c>
      <c r="F139" s="11" t="s">
        <v>495</v>
      </c>
    </row>
    <row r="140">
      <c r="A140" s="7" t="s">
        <v>497</v>
      </c>
      <c r="B140" s="8" t="s">
        <v>500</v>
      </c>
      <c r="C140" s="9" t="s">
        <v>501</v>
      </c>
      <c r="D140" s="9" t="s">
        <v>11</v>
      </c>
      <c r="E140" s="10" t="s">
        <v>502</v>
      </c>
      <c r="F140" s="11" t="s">
        <v>503</v>
      </c>
    </row>
    <row r="141">
      <c r="A141" s="7" t="s">
        <v>497</v>
      </c>
      <c r="B141" s="8" t="s">
        <v>504</v>
      </c>
      <c r="C141" s="9" t="s">
        <v>505</v>
      </c>
      <c r="D141" s="9" t="s">
        <v>16</v>
      </c>
      <c r="E141" s="10" t="s">
        <v>506</v>
      </c>
      <c r="F141" s="11" t="s">
        <v>507</v>
      </c>
    </row>
    <row r="142">
      <c r="A142" s="7" t="s">
        <v>497</v>
      </c>
      <c r="B142" s="8" t="s">
        <v>508</v>
      </c>
      <c r="C142" s="9" t="s">
        <v>510</v>
      </c>
      <c r="D142" s="9" t="s">
        <v>21</v>
      </c>
      <c r="E142" s="10" t="s">
        <v>512</v>
      </c>
      <c r="F142" s="11" t="s">
        <v>513</v>
      </c>
    </row>
    <row r="143">
      <c r="A143" s="7" t="s">
        <v>497</v>
      </c>
      <c r="B143" s="8" t="s">
        <v>515</v>
      </c>
      <c r="C143" s="9" t="s">
        <v>516</v>
      </c>
      <c r="D143" s="9" t="s">
        <v>26</v>
      </c>
      <c r="E143" s="10" t="s">
        <v>517</v>
      </c>
      <c r="F143" s="11" t="s">
        <v>518</v>
      </c>
    </row>
    <row r="144">
      <c r="A144" s="7" t="s">
        <v>497</v>
      </c>
      <c r="B144" s="8" t="s">
        <v>520</v>
      </c>
      <c r="C144" s="9" t="s">
        <v>521</v>
      </c>
      <c r="D144" s="9" t="s">
        <v>31</v>
      </c>
      <c r="E144" s="10" t="s">
        <v>522</v>
      </c>
      <c r="F144" s="11" t="s">
        <v>523</v>
      </c>
    </row>
    <row r="145">
      <c r="A145" s="7" t="s">
        <v>497</v>
      </c>
      <c r="B145" s="8" t="s">
        <v>524</v>
      </c>
      <c r="C145" s="9" t="s">
        <v>525</v>
      </c>
      <c r="D145" s="9" t="s">
        <v>31</v>
      </c>
      <c r="E145" s="10" t="s">
        <v>526</v>
      </c>
      <c r="F145" s="11" t="s">
        <v>527</v>
      </c>
    </row>
    <row r="146">
      <c r="A146" s="7" t="s">
        <v>528</v>
      </c>
      <c r="B146" s="8" t="s">
        <v>529</v>
      </c>
      <c r="C146" s="9" t="s">
        <v>530</v>
      </c>
      <c r="D146" s="9" t="s">
        <v>11</v>
      </c>
      <c r="E146" s="10" t="s">
        <v>531</v>
      </c>
      <c r="F146" s="11" t="s">
        <v>532</v>
      </c>
    </row>
    <row r="147">
      <c r="A147" s="7" t="s">
        <v>528</v>
      </c>
      <c r="B147" s="8" t="s">
        <v>533</v>
      </c>
      <c r="C147" s="9" t="s">
        <v>535</v>
      </c>
      <c r="D147" s="9" t="s">
        <v>16</v>
      </c>
      <c r="E147" s="10" t="s">
        <v>536</v>
      </c>
      <c r="F147" s="11" t="s">
        <v>537</v>
      </c>
    </row>
    <row r="148">
      <c r="A148" s="7" t="s">
        <v>528</v>
      </c>
      <c r="B148" s="8" t="s">
        <v>539</v>
      </c>
      <c r="C148" s="9" t="s">
        <v>540</v>
      </c>
      <c r="D148" s="9" t="s">
        <v>21</v>
      </c>
      <c r="E148" s="10" t="s">
        <v>542</v>
      </c>
      <c r="F148" s="11" t="s">
        <v>543</v>
      </c>
    </row>
    <row r="149">
      <c r="A149" s="7" t="s">
        <v>528</v>
      </c>
      <c r="B149" s="8" t="s">
        <v>545</v>
      </c>
      <c r="C149" s="9" t="s">
        <v>546</v>
      </c>
      <c r="D149" s="9" t="s">
        <v>26</v>
      </c>
      <c r="E149" s="10" t="s">
        <v>548</v>
      </c>
      <c r="F149" s="11" t="s">
        <v>549</v>
      </c>
    </row>
    <row r="150">
      <c r="A150" s="7" t="s">
        <v>528</v>
      </c>
      <c r="B150" s="8" t="s">
        <v>550</v>
      </c>
      <c r="C150" s="9" t="s">
        <v>551</v>
      </c>
      <c r="D150" s="9" t="s">
        <v>31</v>
      </c>
      <c r="E150" s="10" t="s">
        <v>553</v>
      </c>
      <c r="F150" s="11" t="s">
        <v>555</v>
      </c>
    </row>
    <row r="151">
      <c r="A151" s="7" t="s">
        <v>528</v>
      </c>
      <c r="B151" s="8" t="s">
        <v>556</v>
      </c>
      <c r="C151" s="9" t="s">
        <v>557</v>
      </c>
      <c r="D151" s="9" t="s">
        <v>31</v>
      </c>
      <c r="E151" s="10" t="s">
        <v>558</v>
      </c>
      <c r="F151" s="11" t="s">
        <v>559</v>
      </c>
    </row>
    <row r="152">
      <c r="A152" s="7" t="s">
        <v>560</v>
      </c>
      <c r="B152" s="8" t="s">
        <v>561</v>
      </c>
      <c r="C152" s="9" t="s">
        <v>562</v>
      </c>
      <c r="D152" s="9" t="s">
        <v>11</v>
      </c>
      <c r="E152" s="10" t="s">
        <v>563</v>
      </c>
      <c r="F152" s="11" t="s">
        <v>564</v>
      </c>
    </row>
    <row r="153">
      <c r="A153" s="7" t="s">
        <v>560</v>
      </c>
      <c r="B153" s="8" t="s">
        <v>565</v>
      </c>
      <c r="C153" s="9" t="s">
        <v>566</v>
      </c>
      <c r="D153" s="9" t="s">
        <v>11</v>
      </c>
      <c r="E153" s="10" t="s">
        <v>567</v>
      </c>
      <c r="F153" s="11" t="s">
        <v>568</v>
      </c>
    </row>
    <row r="154">
      <c r="A154" s="7" t="s">
        <v>560</v>
      </c>
      <c r="B154" s="8" t="s">
        <v>330</v>
      </c>
      <c r="C154" s="9" t="s">
        <v>569</v>
      </c>
      <c r="D154" s="9" t="s">
        <v>16</v>
      </c>
      <c r="E154" s="10" t="s">
        <v>570</v>
      </c>
      <c r="F154" s="11" t="s">
        <v>571</v>
      </c>
    </row>
    <row r="155">
      <c r="A155" s="7" t="s">
        <v>560</v>
      </c>
      <c r="B155" s="8" t="s">
        <v>572</v>
      </c>
      <c r="C155" s="9" t="s">
        <v>573</v>
      </c>
      <c r="D155" s="9" t="s">
        <v>16</v>
      </c>
      <c r="E155" s="10" t="s">
        <v>576</v>
      </c>
      <c r="F155" s="11" t="s">
        <v>577</v>
      </c>
    </row>
    <row r="156">
      <c r="A156" s="7" t="s">
        <v>560</v>
      </c>
      <c r="B156" s="8" t="s">
        <v>578</v>
      </c>
      <c r="C156" s="9" t="s">
        <v>579</v>
      </c>
      <c r="D156" s="9" t="s">
        <v>21</v>
      </c>
      <c r="E156" s="10" t="s">
        <v>580</v>
      </c>
      <c r="F156" s="11" t="s">
        <v>581</v>
      </c>
    </row>
    <row r="157">
      <c r="A157" s="7" t="s">
        <v>560</v>
      </c>
      <c r="B157" s="8" t="s">
        <v>582</v>
      </c>
      <c r="C157" s="9" t="s">
        <v>583</v>
      </c>
      <c r="D157" s="9" t="s">
        <v>21</v>
      </c>
      <c r="E157" s="10" t="s">
        <v>584</v>
      </c>
      <c r="F157" s="11" t="s">
        <v>585</v>
      </c>
    </row>
    <row r="158">
      <c r="A158" s="7" t="s">
        <v>560</v>
      </c>
      <c r="B158" s="8" t="s">
        <v>315</v>
      </c>
      <c r="C158" s="9" t="s">
        <v>586</v>
      </c>
      <c r="D158" s="9" t="s">
        <v>26</v>
      </c>
      <c r="E158" s="10" t="s">
        <v>587</v>
      </c>
      <c r="F158" s="11" t="s">
        <v>588</v>
      </c>
    </row>
    <row r="159">
      <c r="A159" s="50" t="s">
        <v>560</v>
      </c>
      <c r="B159" s="51" t="s">
        <v>590</v>
      </c>
      <c r="C159" s="52" t="s">
        <v>591</v>
      </c>
      <c r="D159" s="52" t="s">
        <v>31</v>
      </c>
      <c r="E159" s="53" t="s">
        <v>594</v>
      </c>
      <c r="F159" s="54" t="s">
        <v>595</v>
      </c>
    </row>
  </sheetData>
  <mergeCells count="2">
    <mergeCell ref="A1:F1"/>
    <mergeCell ref="A2:F2"/>
  </mergeCells>
  <drawing r:id="rId1"/>
  <tableParts count="1">
    <tablePart r:id="rId3"/>
  </tableParts>
</worksheet>
</file>